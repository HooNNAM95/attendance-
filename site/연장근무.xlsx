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김남훈\Desktop\site\"/>
    </mc:Choice>
  </mc:AlternateContent>
  <xr:revisionPtr revIDLastSave="0" documentId="13_ncr:1_{82D87493-EEC8-4F5F-A940-4AB33F29460C}" xr6:coauthVersionLast="47" xr6:coauthVersionMax="47" xr10:uidLastSave="{00000000-0000-0000-0000-000000000000}"/>
  <bookViews>
    <workbookView xWindow="-28920" yWindow="-120" windowWidth="29040" windowHeight="15720" firstSheet="1" activeTab="6" xr2:uid="{1C623E58-0CB5-4E04-92D2-F1145A25538E}"/>
  </bookViews>
  <sheets>
    <sheet name="기준" sheetId="3" state="hidden" r:id="rId1"/>
    <sheet name="공휴일" sheetId="6" r:id="rId2"/>
    <sheet name="토요일" sheetId="4" r:id="rId3"/>
    <sheet name="일요일" sheetId="5" r:id="rId4"/>
    <sheet name="월요일" sheetId="7" r:id="rId5"/>
    <sheet name="평일" sheetId="2" r:id="rId6"/>
    <sheet name="주 연장근무 현황" sheetId="1" r:id="rId7"/>
  </sheets>
  <externalReferences>
    <externalReference r:id="rId8"/>
  </externalReferences>
  <definedNames>
    <definedName name="참고" localSheetId="0">#REF!</definedName>
    <definedName name="참고">#REF!</definedName>
    <definedName name="참고2">#REF!</definedName>
    <definedName name="참조" localSheetId="0">#REF!</definedName>
    <definedName name="참조">#REF!</definedName>
    <definedName name="참조10">#REF!</definedName>
    <definedName name="참조2">#REF!</definedName>
    <definedName name="참조3">#REF!</definedName>
    <definedName name="참조4">#REF!</definedName>
    <definedName name="참코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5" l="1"/>
  <c r="M43" i="5" s="1"/>
  <c r="B43" i="5"/>
  <c r="K42" i="5"/>
  <c r="M42" i="5" s="1"/>
  <c r="B42" i="5"/>
  <c r="K41" i="5"/>
  <c r="M41" i="5" s="1"/>
  <c r="B41" i="5"/>
  <c r="K40" i="5"/>
  <c r="M40" i="5" s="1"/>
  <c r="B40" i="5"/>
  <c r="K39" i="5"/>
  <c r="M39" i="5" s="1"/>
  <c r="B39" i="5"/>
  <c r="K38" i="5"/>
  <c r="L38" i="5" s="1"/>
  <c r="B38" i="5"/>
  <c r="K37" i="5"/>
  <c r="L37" i="5" s="1"/>
  <c r="B37" i="5"/>
  <c r="K36" i="5"/>
  <c r="M36" i="5" s="1"/>
  <c r="B36" i="5"/>
  <c r="K35" i="5"/>
  <c r="M35" i="5" s="1"/>
  <c r="B35" i="5"/>
  <c r="K34" i="5"/>
  <c r="M34" i="5" s="1"/>
  <c r="B34" i="5"/>
  <c r="K33" i="5"/>
  <c r="M33" i="5" s="1"/>
  <c r="B33" i="5"/>
  <c r="K32" i="5"/>
  <c r="M32" i="5" s="1"/>
  <c r="B32" i="5"/>
  <c r="K31" i="5"/>
  <c r="M31" i="5" s="1"/>
  <c r="B31" i="5"/>
  <c r="K30" i="5"/>
  <c r="M30" i="5" s="1"/>
  <c r="B30" i="5"/>
  <c r="K29" i="5"/>
  <c r="M29" i="5" s="1"/>
  <c r="B29" i="5"/>
  <c r="K28" i="5"/>
  <c r="M28" i="5" s="1"/>
  <c r="B28" i="5"/>
  <c r="K27" i="5"/>
  <c r="M27" i="5" s="1"/>
  <c r="B27" i="5"/>
  <c r="K26" i="5"/>
  <c r="M26" i="5" s="1"/>
  <c r="B26" i="5"/>
  <c r="K25" i="5"/>
  <c r="M25" i="5" s="1"/>
  <c r="B25" i="5"/>
  <c r="K24" i="5"/>
  <c r="M24" i="5" s="1"/>
  <c r="B24" i="5"/>
  <c r="K23" i="5"/>
  <c r="M23" i="5" s="1"/>
  <c r="B23" i="5"/>
  <c r="K22" i="5"/>
  <c r="M22" i="5" s="1"/>
  <c r="B22" i="5"/>
  <c r="K21" i="5"/>
  <c r="M21" i="5" s="1"/>
  <c r="B21" i="5"/>
  <c r="K20" i="5"/>
  <c r="L20" i="5" s="1"/>
  <c r="B20" i="5"/>
  <c r="K19" i="5"/>
  <c r="M19" i="5" s="1"/>
  <c r="B19" i="5"/>
  <c r="K43" i="2"/>
  <c r="M43" i="2" s="1"/>
  <c r="B43" i="2"/>
  <c r="K42" i="2"/>
  <c r="M42" i="2" s="1"/>
  <c r="B42" i="2"/>
  <c r="K41" i="2"/>
  <c r="M41" i="2" s="1"/>
  <c r="B41" i="2"/>
  <c r="K40" i="2"/>
  <c r="M40" i="2" s="1"/>
  <c r="B40" i="2"/>
  <c r="K39" i="2"/>
  <c r="M39" i="2" s="1"/>
  <c r="B39" i="2"/>
  <c r="K38" i="2"/>
  <c r="M38" i="2" s="1"/>
  <c r="B38" i="2"/>
  <c r="K37" i="2"/>
  <c r="M37" i="2" s="1"/>
  <c r="B37" i="2"/>
  <c r="K36" i="2"/>
  <c r="M36" i="2" s="1"/>
  <c r="B36" i="2"/>
  <c r="K35" i="2"/>
  <c r="M35" i="2" s="1"/>
  <c r="B35" i="2"/>
  <c r="K34" i="2"/>
  <c r="M34" i="2" s="1"/>
  <c r="B34" i="2"/>
  <c r="K33" i="2"/>
  <c r="M33" i="2" s="1"/>
  <c r="B33" i="2"/>
  <c r="K32" i="2"/>
  <c r="M32" i="2" s="1"/>
  <c r="B32" i="2"/>
  <c r="K31" i="2"/>
  <c r="M31" i="2" s="1"/>
  <c r="B31" i="2"/>
  <c r="K30" i="2"/>
  <c r="M30" i="2" s="1"/>
  <c r="B30" i="2"/>
  <c r="K29" i="2"/>
  <c r="M29" i="2" s="1"/>
  <c r="B29" i="2"/>
  <c r="K28" i="2"/>
  <c r="M28" i="2" s="1"/>
  <c r="B28" i="2"/>
  <c r="K27" i="2"/>
  <c r="M27" i="2" s="1"/>
  <c r="B27" i="2"/>
  <c r="K26" i="2"/>
  <c r="M26" i="2" s="1"/>
  <c r="B26" i="2"/>
  <c r="K25" i="2"/>
  <c r="M25" i="2" s="1"/>
  <c r="B25" i="2"/>
  <c r="K24" i="2"/>
  <c r="M24" i="2" s="1"/>
  <c r="B24" i="2"/>
  <c r="K23" i="2"/>
  <c r="M23" i="2" s="1"/>
  <c r="B23" i="2"/>
  <c r="K22" i="2"/>
  <c r="M22" i="2" s="1"/>
  <c r="B22" i="2"/>
  <c r="K21" i="2"/>
  <c r="M21" i="2" s="1"/>
  <c r="B21" i="2"/>
  <c r="K20" i="2"/>
  <c r="M20" i="2" s="1"/>
  <c r="B20" i="2"/>
  <c r="K19" i="2"/>
  <c r="M19" i="2" s="1"/>
  <c r="B19" i="2"/>
  <c r="K43" i="7"/>
  <c r="M43" i="7" s="1"/>
  <c r="B43" i="7"/>
  <c r="K42" i="7"/>
  <c r="M42" i="7" s="1"/>
  <c r="B42" i="7"/>
  <c r="K41" i="7"/>
  <c r="L41" i="7" s="1"/>
  <c r="B41" i="7"/>
  <c r="K40" i="7"/>
  <c r="M40" i="7" s="1"/>
  <c r="B40" i="7"/>
  <c r="K39" i="7"/>
  <c r="M39" i="7" s="1"/>
  <c r="B39" i="7"/>
  <c r="K38" i="7"/>
  <c r="M38" i="7" s="1"/>
  <c r="B38" i="7"/>
  <c r="K37" i="7"/>
  <c r="L37" i="7" s="1"/>
  <c r="B37" i="7"/>
  <c r="K36" i="7"/>
  <c r="M36" i="7" s="1"/>
  <c r="B36" i="7"/>
  <c r="K35" i="7"/>
  <c r="M35" i="7" s="1"/>
  <c r="B35" i="7"/>
  <c r="K34" i="7"/>
  <c r="M34" i="7" s="1"/>
  <c r="B34" i="7"/>
  <c r="K33" i="7"/>
  <c r="M33" i="7" s="1"/>
  <c r="B33" i="7"/>
  <c r="K32" i="7"/>
  <c r="L32" i="7" s="1"/>
  <c r="B32" i="7"/>
  <c r="K31" i="7"/>
  <c r="M31" i="7" s="1"/>
  <c r="B31" i="7"/>
  <c r="K30" i="7"/>
  <c r="M30" i="7" s="1"/>
  <c r="B30" i="7"/>
  <c r="K29" i="7"/>
  <c r="M29" i="7" s="1"/>
  <c r="B29" i="7"/>
  <c r="K28" i="7"/>
  <c r="M28" i="7" s="1"/>
  <c r="B28" i="7"/>
  <c r="K27" i="7"/>
  <c r="M27" i="7" s="1"/>
  <c r="B27" i="7"/>
  <c r="K26" i="7"/>
  <c r="M26" i="7" s="1"/>
  <c r="B26" i="7"/>
  <c r="K25" i="7"/>
  <c r="L25" i="7" s="1"/>
  <c r="B25" i="7"/>
  <c r="K24" i="7"/>
  <c r="M24" i="7" s="1"/>
  <c r="B24" i="7"/>
  <c r="K23" i="7"/>
  <c r="M23" i="7" s="1"/>
  <c r="B23" i="7"/>
  <c r="K22" i="7"/>
  <c r="M22" i="7" s="1"/>
  <c r="B22" i="7"/>
  <c r="K21" i="7"/>
  <c r="L21" i="7" s="1"/>
  <c r="B21" i="7"/>
  <c r="K20" i="7"/>
  <c r="L20" i="7" s="1"/>
  <c r="B20" i="7"/>
  <c r="K19" i="7"/>
  <c r="M19" i="7" s="1"/>
  <c r="B19" i="7"/>
  <c r="K43" i="4"/>
  <c r="M43" i="4" s="1"/>
  <c r="B43" i="4"/>
  <c r="K42" i="4"/>
  <c r="M42" i="4" s="1"/>
  <c r="B42" i="4"/>
  <c r="K41" i="4"/>
  <c r="M41" i="4" s="1"/>
  <c r="B41" i="4"/>
  <c r="K40" i="4"/>
  <c r="M40" i="4" s="1"/>
  <c r="B40" i="4"/>
  <c r="K39" i="4"/>
  <c r="M39" i="4" s="1"/>
  <c r="B39" i="4"/>
  <c r="K38" i="4"/>
  <c r="M38" i="4" s="1"/>
  <c r="B38" i="4"/>
  <c r="K37" i="4"/>
  <c r="M37" i="4" s="1"/>
  <c r="B37" i="4"/>
  <c r="K36" i="4"/>
  <c r="M36" i="4" s="1"/>
  <c r="B36" i="4"/>
  <c r="K35" i="4"/>
  <c r="M35" i="4" s="1"/>
  <c r="B35" i="4"/>
  <c r="K34" i="4"/>
  <c r="M34" i="4" s="1"/>
  <c r="B34" i="4"/>
  <c r="K33" i="4"/>
  <c r="L33" i="4" s="1"/>
  <c r="B33" i="4"/>
  <c r="K32" i="4"/>
  <c r="L32" i="4" s="1"/>
  <c r="B32" i="4"/>
  <c r="K31" i="4"/>
  <c r="M31" i="4" s="1"/>
  <c r="B31" i="4"/>
  <c r="K30" i="4"/>
  <c r="L30" i="4" s="1"/>
  <c r="B30" i="4"/>
  <c r="K29" i="4"/>
  <c r="M29" i="4" s="1"/>
  <c r="B29" i="4"/>
  <c r="K28" i="4"/>
  <c r="M28" i="4" s="1"/>
  <c r="B28" i="4"/>
  <c r="K27" i="4"/>
  <c r="M27" i="4" s="1"/>
  <c r="B27" i="4"/>
  <c r="K26" i="4"/>
  <c r="M26" i="4" s="1"/>
  <c r="B26" i="4"/>
  <c r="K25" i="4"/>
  <c r="L25" i="4" s="1"/>
  <c r="B25" i="4"/>
  <c r="K24" i="4"/>
  <c r="L24" i="4" s="1"/>
  <c r="B24" i="4"/>
  <c r="K23" i="4"/>
  <c r="M23" i="4" s="1"/>
  <c r="B23" i="4"/>
  <c r="K22" i="4"/>
  <c r="M22" i="4" s="1"/>
  <c r="B22" i="4"/>
  <c r="K21" i="4"/>
  <c r="M21" i="4" s="1"/>
  <c r="B21" i="4"/>
  <c r="K20" i="4"/>
  <c r="M20" i="4" s="1"/>
  <c r="B20" i="4"/>
  <c r="B13" i="4"/>
  <c r="K13" i="4"/>
  <c r="L13" i="4" s="1"/>
  <c r="B14" i="4"/>
  <c r="K14" i="4"/>
  <c r="L14" i="4"/>
  <c r="M14" i="4"/>
  <c r="B15" i="4"/>
  <c r="K15" i="4"/>
  <c r="L15" i="4" s="1"/>
  <c r="B16" i="4"/>
  <c r="K16" i="4"/>
  <c r="L16" i="4"/>
  <c r="M16" i="4"/>
  <c r="B17" i="4"/>
  <c r="K17" i="4"/>
  <c r="L17" i="4" s="1"/>
  <c r="B18" i="4"/>
  <c r="K18" i="4"/>
  <c r="L18" i="4"/>
  <c r="M18" i="4"/>
  <c r="B19" i="4"/>
  <c r="K19" i="4"/>
  <c r="L19" i="4"/>
  <c r="M19" i="4"/>
  <c r="L39" i="6"/>
  <c r="L30" i="6"/>
  <c r="L31" i="6"/>
  <c r="L33" i="6"/>
  <c r="L34" i="6"/>
  <c r="L35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7" i="6"/>
  <c r="K33" i="6"/>
  <c r="K34" i="6"/>
  <c r="K35" i="6"/>
  <c r="M35" i="6" s="1"/>
  <c r="K36" i="6"/>
  <c r="L36" i="6" s="1"/>
  <c r="K37" i="6"/>
  <c r="M37" i="6" s="1"/>
  <c r="K40" i="6"/>
  <c r="M40" i="6" s="1"/>
  <c r="K27" i="6"/>
  <c r="K28" i="6"/>
  <c r="K29" i="6"/>
  <c r="M29" i="6" s="1"/>
  <c r="K30" i="6"/>
  <c r="K31" i="6"/>
  <c r="K32" i="6"/>
  <c r="L32" i="6" s="1"/>
  <c r="K38" i="6"/>
  <c r="M38" i="6" s="1"/>
  <c r="K39" i="6"/>
  <c r="M39" i="6" s="1"/>
  <c r="K8" i="6"/>
  <c r="K9" i="6"/>
  <c r="K10" i="6"/>
  <c r="K11" i="6"/>
  <c r="K12" i="6"/>
  <c r="K13" i="6"/>
  <c r="K14" i="6"/>
  <c r="K15" i="6"/>
  <c r="K16" i="6"/>
  <c r="K17" i="6"/>
  <c r="M17" i="6" s="1"/>
  <c r="K18" i="6"/>
  <c r="M18" i="6" s="1"/>
  <c r="K19" i="6"/>
  <c r="M19" i="6" s="1"/>
  <c r="K20" i="6"/>
  <c r="M20" i="6" s="1"/>
  <c r="K21" i="6"/>
  <c r="M21" i="6" s="1"/>
  <c r="K22" i="6"/>
  <c r="M22" i="6" s="1"/>
  <c r="K23" i="6"/>
  <c r="M23" i="6" s="1"/>
  <c r="K24" i="6"/>
  <c r="K25" i="6"/>
  <c r="K26" i="6"/>
  <c r="K7" i="6"/>
  <c r="M33" i="6"/>
  <c r="B32" i="6"/>
  <c r="B33" i="6"/>
  <c r="B34" i="6"/>
  <c r="B35" i="6"/>
  <c r="B36" i="6"/>
  <c r="B37" i="6"/>
  <c r="B38" i="6"/>
  <c r="B39" i="6"/>
  <c r="B40" i="6"/>
  <c r="B20" i="6"/>
  <c r="B21" i="6"/>
  <c r="B22" i="6"/>
  <c r="B23" i="6"/>
  <c r="B24" i="6"/>
  <c r="B25" i="6"/>
  <c r="B26" i="6"/>
  <c r="B27" i="6"/>
  <c r="B28" i="6"/>
  <c r="B29" i="6"/>
  <c r="B30" i="6"/>
  <c r="B31" i="6"/>
  <c r="M24" i="6"/>
  <c r="M25" i="6"/>
  <c r="M26" i="6"/>
  <c r="M27" i="6"/>
  <c r="M28" i="6"/>
  <c r="M30" i="6"/>
  <c r="M31" i="6"/>
  <c r="V24" i="7"/>
  <c r="V23" i="7"/>
  <c r="V22" i="7"/>
  <c r="V21" i="7"/>
  <c r="V20" i="7"/>
  <c r="V19" i="7"/>
  <c r="V18" i="7"/>
  <c r="K18" i="7"/>
  <c r="M18" i="7" s="1"/>
  <c r="B18" i="7"/>
  <c r="V17" i="7"/>
  <c r="K17" i="7"/>
  <c r="M17" i="7" s="1"/>
  <c r="B17" i="7"/>
  <c r="V16" i="7"/>
  <c r="K16" i="7"/>
  <c r="L16" i="7" s="1"/>
  <c r="B16" i="7"/>
  <c r="K15" i="7"/>
  <c r="M15" i="7" s="1"/>
  <c r="B15" i="7"/>
  <c r="V14" i="7"/>
  <c r="M14" i="7"/>
  <c r="L14" i="7"/>
  <c r="K14" i="7"/>
  <c r="B14" i="7"/>
  <c r="V13" i="7"/>
  <c r="K13" i="7"/>
  <c r="L13" i="7" s="1"/>
  <c r="B13" i="7"/>
  <c r="V12" i="7"/>
  <c r="K12" i="7"/>
  <c r="M12" i="7" s="1"/>
  <c r="B12" i="7"/>
  <c r="V11" i="7"/>
  <c r="K11" i="7"/>
  <c r="M11" i="7" s="1"/>
  <c r="B11" i="7"/>
  <c r="V10" i="7"/>
  <c r="K10" i="7"/>
  <c r="M10" i="7" s="1"/>
  <c r="B10" i="7"/>
  <c r="V9" i="7"/>
  <c r="K9" i="7"/>
  <c r="L9" i="7" s="1"/>
  <c r="B9" i="7"/>
  <c r="V8" i="7"/>
  <c r="K8" i="7"/>
  <c r="M8" i="7" s="1"/>
  <c r="B8" i="7"/>
  <c r="V7" i="7"/>
  <c r="K7" i="7"/>
  <c r="M7" i="7" s="1"/>
  <c r="B7" i="7"/>
  <c r="R4" i="7"/>
  <c r="N4" i="7"/>
  <c r="V24" i="6"/>
  <c r="V23" i="6"/>
  <c r="V22" i="6"/>
  <c r="V21" i="6"/>
  <c r="V20" i="6"/>
  <c r="V19" i="6"/>
  <c r="B19" i="6"/>
  <c r="V18" i="6"/>
  <c r="B18" i="6"/>
  <c r="V17" i="6"/>
  <c r="B17" i="6"/>
  <c r="V16" i="6"/>
  <c r="B16" i="6"/>
  <c r="B15" i="6"/>
  <c r="V14" i="6"/>
  <c r="M14" i="6"/>
  <c r="B14" i="6"/>
  <c r="V13" i="6"/>
  <c r="B13" i="6"/>
  <c r="V12" i="6"/>
  <c r="M12" i="6"/>
  <c r="B12" i="6"/>
  <c r="V11" i="6"/>
  <c r="M11" i="6"/>
  <c r="B11" i="6"/>
  <c r="V10" i="6"/>
  <c r="M10" i="6"/>
  <c r="B10" i="6"/>
  <c r="V9" i="6"/>
  <c r="M9" i="6"/>
  <c r="B9" i="6"/>
  <c r="V8" i="6"/>
  <c r="B8" i="6"/>
  <c r="V7" i="6"/>
  <c r="M7" i="6"/>
  <c r="B7" i="6"/>
  <c r="R4" i="6"/>
  <c r="N4" i="6"/>
  <c r="N4" i="5"/>
  <c r="R4" i="5"/>
  <c r="B7" i="5"/>
  <c r="V7" i="5"/>
  <c r="B8" i="5"/>
  <c r="V8" i="5"/>
  <c r="B9" i="5"/>
  <c r="V9" i="5"/>
  <c r="B10" i="5"/>
  <c r="V10" i="5"/>
  <c r="B11" i="5"/>
  <c r="V11" i="5"/>
  <c r="B12" i="5"/>
  <c r="V12" i="5"/>
  <c r="B13" i="5"/>
  <c r="V13" i="5"/>
  <c r="B14" i="5"/>
  <c r="V14" i="5"/>
  <c r="B15" i="5"/>
  <c r="B16" i="5"/>
  <c r="V16" i="5"/>
  <c r="B17" i="5"/>
  <c r="V17" i="5"/>
  <c r="B18" i="5"/>
  <c r="V18" i="5"/>
  <c r="V19" i="5"/>
  <c r="V20" i="5"/>
  <c r="V21" i="5"/>
  <c r="V22" i="5"/>
  <c r="V23" i="5"/>
  <c r="V24" i="5"/>
  <c r="N4" i="4"/>
  <c r="R4" i="4"/>
  <c r="B7" i="4"/>
  <c r="V7" i="4"/>
  <c r="B8" i="4"/>
  <c r="V8" i="4"/>
  <c r="B9" i="4"/>
  <c r="V9" i="4"/>
  <c r="B10" i="4"/>
  <c r="V10" i="4"/>
  <c r="B11" i="4"/>
  <c r="V11" i="4"/>
  <c r="B12" i="4"/>
  <c r="V12" i="4"/>
  <c r="V13" i="4"/>
  <c r="V14" i="4"/>
  <c r="V16" i="4"/>
  <c r="V17" i="4"/>
  <c r="V18" i="4"/>
  <c r="V19" i="4"/>
  <c r="V20" i="4"/>
  <c r="V21" i="4"/>
  <c r="V22" i="4"/>
  <c r="V23" i="4"/>
  <c r="V24" i="4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L19" i="2" l="1"/>
  <c r="L19" i="7"/>
  <c r="M15" i="4"/>
  <c r="L24" i="5"/>
  <c r="L28" i="5"/>
  <c r="L32" i="5"/>
  <c r="L40" i="5"/>
  <c r="M20" i="5"/>
  <c r="L21" i="5"/>
  <c r="L25" i="5"/>
  <c r="L29" i="5"/>
  <c r="L33" i="5"/>
  <c r="L41" i="5"/>
  <c r="M37" i="5"/>
  <c r="L22" i="5"/>
  <c r="L26" i="5"/>
  <c r="L34" i="5"/>
  <c r="L42" i="5"/>
  <c r="M38" i="5"/>
  <c r="L19" i="5"/>
  <c r="L23" i="5"/>
  <c r="L27" i="5"/>
  <c r="L31" i="5"/>
  <c r="L35" i="5"/>
  <c r="L39" i="5"/>
  <c r="L43" i="5"/>
  <c r="L36" i="5"/>
  <c r="L30" i="5"/>
  <c r="L20" i="2"/>
  <c r="L24" i="2"/>
  <c r="L28" i="2"/>
  <c r="L32" i="2"/>
  <c r="L36" i="2"/>
  <c r="L40" i="2"/>
  <c r="L21" i="2"/>
  <c r="L25" i="2"/>
  <c r="L29" i="2"/>
  <c r="L33" i="2"/>
  <c r="L37" i="2"/>
  <c r="L41" i="2"/>
  <c r="L22" i="2"/>
  <c r="L26" i="2"/>
  <c r="L30" i="2"/>
  <c r="L34" i="2"/>
  <c r="L38" i="2"/>
  <c r="L42" i="2"/>
  <c r="L23" i="2"/>
  <c r="L27" i="2"/>
  <c r="L31" i="2"/>
  <c r="L35" i="2"/>
  <c r="L39" i="2"/>
  <c r="L43" i="2"/>
  <c r="M32" i="7"/>
  <c r="L29" i="7"/>
  <c r="L22" i="7"/>
  <c r="L26" i="7"/>
  <c r="L30" i="7"/>
  <c r="L34" i="7"/>
  <c r="L38" i="7"/>
  <c r="L42" i="7"/>
  <c r="L24" i="7"/>
  <c r="L40" i="7"/>
  <c r="L33" i="7"/>
  <c r="M21" i="7"/>
  <c r="M25" i="7"/>
  <c r="M37" i="7"/>
  <c r="M41" i="7"/>
  <c r="L28" i="7"/>
  <c r="L36" i="7"/>
  <c r="M20" i="7"/>
  <c r="L23" i="7"/>
  <c r="L27" i="7"/>
  <c r="L31" i="7"/>
  <c r="L35" i="7"/>
  <c r="L39" i="7"/>
  <c r="L43" i="7"/>
  <c r="L20" i="4"/>
  <c r="L28" i="4"/>
  <c r="L36" i="4"/>
  <c r="M24" i="4"/>
  <c r="M32" i="4"/>
  <c r="L21" i="4"/>
  <c r="L29" i="4"/>
  <c r="L41" i="4"/>
  <c r="M25" i="4"/>
  <c r="M33" i="4"/>
  <c r="L22" i="4"/>
  <c r="L26" i="4"/>
  <c r="L34" i="4"/>
  <c r="L38" i="4"/>
  <c r="M30" i="4"/>
  <c r="L23" i="4"/>
  <c r="L27" i="4"/>
  <c r="L31" i="4"/>
  <c r="L35" i="4"/>
  <c r="L39" i="4"/>
  <c r="L43" i="4"/>
  <c r="L40" i="4"/>
  <c r="L37" i="4"/>
  <c r="L42" i="4"/>
  <c r="M17" i="4"/>
  <c r="M13" i="4"/>
  <c r="M32" i="6"/>
  <c r="L38" i="6"/>
  <c r="L37" i="6"/>
  <c r="L40" i="6"/>
  <c r="M36" i="6"/>
  <c r="M34" i="6"/>
  <c r="M16" i="6"/>
  <c r="L11" i="7"/>
  <c r="M16" i="7"/>
  <c r="L8" i="7"/>
  <c r="L12" i="7"/>
  <c r="L18" i="7"/>
  <c r="M9" i="7"/>
  <c r="L10" i="7"/>
  <c r="M13" i="7"/>
  <c r="L7" i="7"/>
  <c r="L17" i="7"/>
  <c r="L15" i="7"/>
  <c r="M8" i="6"/>
  <c r="M15" i="6"/>
  <c r="M13" i="6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K16" i="2"/>
  <c r="L16" i="2" s="1"/>
  <c r="K17" i="2"/>
  <c r="L17" i="2" s="1"/>
  <c r="K18" i="2"/>
  <c r="K7" i="2"/>
  <c r="V24" i="2"/>
  <c r="V23" i="2"/>
  <c r="V22" i="2"/>
  <c r="V21" i="2"/>
  <c r="V20" i="2"/>
  <c r="V19" i="2"/>
  <c r="V18" i="2"/>
  <c r="B18" i="2"/>
  <c r="V17" i="2"/>
  <c r="B17" i="2"/>
  <c r="V16" i="2"/>
  <c r="B16" i="2"/>
  <c r="B15" i="2"/>
  <c r="V14" i="2"/>
  <c r="B14" i="2"/>
  <c r="V13" i="2"/>
  <c r="B13" i="2"/>
  <c r="V12" i="2"/>
  <c r="B12" i="2"/>
  <c r="V11" i="2"/>
  <c r="B11" i="2"/>
  <c r="V10" i="2"/>
  <c r="B10" i="2"/>
  <c r="V9" i="2"/>
  <c r="B9" i="2"/>
  <c r="V8" i="2"/>
  <c r="B8" i="2"/>
  <c r="V7" i="2"/>
  <c r="B7" i="2"/>
  <c r="R4" i="2"/>
  <c r="N4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M11" i="2" l="1"/>
  <c r="M9" i="2"/>
  <c r="M16" i="2"/>
  <c r="M18" i="2"/>
  <c r="L18" i="2"/>
  <c r="M7" i="2"/>
  <c r="L7" i="2"/>
  <c r="M17" i="2"/>
  <c r="M15" i="2"/>
  <c r="L15" i="2"/>
  <c r="M13" i="2"/>
  <c r="M10" i="2"/>
  <c r="M14" i="2"/>
  <c r="M8" i="2"/>
  <c r="M12" i="2"/>
  <c r="K17" i="5" l="1"/>
  <c r="K13" i="5"/>
  <c r="K10" i="5"/>
  <c r="K15" i="5"/>
  <c r="K16" i="5"/>
  <c r="K7" i="5"/>
  <c r="K18" i="5"/>
  <c r="K14" i="5"/>
  <c r="K12" i="5"/>
  <c r="K11" i="5"/>
  <c r="K8" i="5"/>
  <c r="K9" i="5"/>
  <c r="K8" i="4"/>
  <c r="K9" i="4"/>
  <c r="K10" i="4"/>
  <c r="K11" i="4"/>
  <c r="K12" i="4"/>
  <c r="K7" i="4"/>
  <c r="M9" i="5" l="1"/>
  <c r="L9" i="5"/>
  <c r="L8" i="5"/>
  <c r="M8" i="5"/>
  <c r="L11" i="5"/>
  <c r="M11" i="5"/>
  <c r="L12" i="5"/>
  <c r="M12" i="5"/>
  <c r="L14" i="5"/>
  <c r="M14" i="5"/>
  <c r="L18" i="5"/>
  <c r="M18" i="5"/>
  <c r="M7" i="5"/>
  <c r="L7" i="5"/>
  <c r="L16" i="5"/>
  <c r="M16" i="5"/>
  <c r="L15" i="5"/>
  <c r="M15" i="5"/>
  <c r="L10" i="5"/>
  <c r="M10" i="5"/>
  <c r="L13" i="5"/>
  <c r="M13" i="5"/>
  <c r="M17" i="5"/>
  <c r="L17" i="5"/>
  <c r="M7" i="4"/>
  <c r="L7" i="4"/>
  <c r="L12" i="4"/>
  <c r="M12" i="4"/>
  <c r="L11" i="4"/>
  <c r="M11" i="4"/>
  <c r="L10" i="4"/>
  <c r="M10" i="4"/>
  <c r="L9" i="4"/>
  <c r="M9" i="4"/>
  <c r="L8" i="4"/>
  <c r="M8" i="4"/>
</calcChain>
</file>

<file path=xl/sharedStrings.xml><?xml version="1.0" encoding="utf-8"?>
<sst xmlns="http://schemas.openxmlformats.org/spreadsheetml/2006/main" count="1314" uniqueCount="79">
  <si>
    <t>`</t>
    <phoneticPr fontId="1" type="noConversion"/>
  </si>
  <si>
    <t>심효정</t>
    <phoneticPr fontId="1" type="noConversion"/>
  </si>
  <si>
    <t>김동련</t>
    <phoneticPr fontId="1" type="noConversion"/>
  </si>
  <si>
    <t>제어P</t>
    <phoneticPr fontId="1" type="noConversion"/>
  </si>
  <si>
    <t>김연호</t>
    <phoneticPr fontId="4" type="noConversion"/>
  </si>
  <si>
    <t>강한울</t>
    <phoneticPr fontId="4" type="noConversion"/>
  </si>
  <si>
    <t>선행개발P</t>
    <phoneticPr fontId="1" type="noConversion"/>
  </si>
  <si>
    <t>이종훈</t>
    <phoneticPr fontId="1" type="noConversion"/>
  </si>
  <si>
    <t>김남훈</t>
    <phoneticPr fontId="1" type="noConversion"/>
  </si>
  <si>
    <t>성민혁</t>
    <phoneticPr fontId="1" type="noConversion"/>
  </si>
  <si>
    <t>김준영</t>
    <phoneticPr fontId="1" type="noConversion"/>
  </si>
  <si>
    <t>이형석</t>
    <phoneticPr fontId="1" type="noConversion"/>
  </si>
  <si>
    <t>박태준</t>
    <phoneticPr fontId="1" type="noConversion"/>
  </si>
  <si>
    <t>박정찬</t>
    <phoneticPr fontId="4" type="noConversion"/>
  </si>
  <si>
    <t>박정환</t>
    <phoneticPr fontId="4" type="noConversion"/>
  </si>
  <si>
    <t>임형준</t>
    <phoneticPr fontId="4" type="noConversion"/>
  </si>
  <si>
    <t>개발팀</t>
    <phoneticPr fontId="1" type="noConversion"/>
  </si>
  <si>
    <t>합계</t>
    <phoneticPr fontId="4" type="noConversion"/>
  </si>
  <si>
    <t>일</t>
    <phoneticPr fontId="1" type="noConversion"/>
  </si>
  <si>
    <t>토</t>
    <phoneticPr fontId="1" type="noConversion"/>
  </si>
  <si>
    <t>금</t>
    <phoneticPr fontId="1" type="noConversion"/>
  </si>
  <si>
    <t>목</t>
    <phoneticPr fontId="1" type="noConversion"/>
  </si>
  <si>
    <t>수</t>
    <phoneticPr fontId="1" type="noConversion"/>
  </si>
  <si>
    <t>화</t>
    <phoneticPr fontId="1" type="noConversion"/>
  </si>
  <si>
    <t>월</t>
    <phoneticPr fontId="1" type="noConversion"/>
  </si>
  <si>
    <t>이름</t>
    <phoneticPr fontId="4" type="noConversion"/>
  </si>
  <si>
    <t>팀</t>
    <phoneticPr fontId="1" type="noConversion"/>
  </si>
  <si>
    <t>연장근무 합계 12시간 이내로 (3/16~3/22)</t>
    <phoneticPr fontId="4" type="noConversion"/>
  </si>
  <si>
    <t>연장근무표_AF사업부</t>
    <phoneticPr fontId="4" type="noConversion"/>
  </si>
  <si>
    <t>평일</t>
  </si>
  <si>
    <t>No</t>
    <phoneticPr fontId="4" type="noConversion"/>
  </si>
  <si>
    <t>팀</t>
    <phoneticPr fontId="4" type="noConversion"/>
  </si>
  <si>
    <t>직위</t>
    <phoneticPr fontId="4" type="noConversion"/>
  </si>
  <si>
    <t>형태</t>
    <phoneticPr fontId="4" type="noConversion"/>
  </si>
  <si>
    <t>연장 근무 확정</t>
    <phoneticPr fontId="4" type="noConversion"/>
  </si>
  <si>
    <t>연장 근무 신청</t>
    <phoneticPr fontId="4" type="noConversion"/>
  </si>
  <si>
    <t>잔여
시간</t>
    <phoneticPr fontId="4" type="noConversion"/>
  </si>
  <si>
    <t>작성 확인</t>
    <phoneticPr fontId="1" type="noConversion"/>
  </si>
  <si>
    <t>신청</t>
    <phoneticPr fontId="4" type="noConversion"/>
  </si>
  <si>
    <t>실제</t>
    <phoneticPr fontId="4" type="noConversion"/>
  </si>
  <si>
    <t>정상출근 기준
퇴근시간</t>
    <phoneticPr fontId="1" type="noConversion"/>
  </si>
  <si>
    <t>승인</t>
    <phoneticPr fontId="4" type="noConversion"/>
  </si>
  <si>
    <t>업무내용</t>
    <phoneticPr fontId="4" type="noConversion"/>
  </si>
  <si>
    <t>업무내용</t>
    <phoneticPr fontId="1" type="noConversion"/>
  </si>
  <si>
    <t>담당자 신청</t>
    <phoneticPr fontId="4" type="noConversion"/>
  </si>
  <si>
    <t>퇴근</t>
    <phoneticPr fontId="4" type="noConversion"/>
  </si>
  <si>
    <t>출근</t>
    <phoneticPr fontId="1" type="noConversion"/>
  </si>
  <si>
    <t>출/퇴근시간</t>
    <phoneticPr fontId="1" type="noConversion"/>
  </si>
  <si>
    <t>인원수</t>
    <phoneticPr fontId="4" type="noConversion"/>
  </si>
  <si>
    <t>개발1팀</t>
    <phoneticPr fontId="1" type="noConversion"/>
  </si>
  <si>
    <t>임형준</t>
    <phoneticPr fontId="1" type="noConversion"/>
  </si>
  <si>
    <t>팀장</t>
    <phoneticPr fontId="1" type="noConversion"/>
  </si>
  <si>
    <t>정규</t>
    <phoneticPr fontId="4" type="noConversion"/>
  </si>
  <si>
    <t>신규 모델 관련 업무 진행</t>
  </si>
  <si>
    <t/>
  </si>
  <si>
    <t>휴무</t>
  </si>
  <si>
    <t>개발2팀</t>
    <phoneticPr fontId="1" type="noConversion"/>
  </si>
  <si>
    <t>팀원</t>
    <phoneticPr fontId="4" type="noConversion"/>
  </si>
  <si>
    <t>VINA 출장</t>
  </si>
  <si>
    <t>박태준</t>
    <phoneticPr fontId="4" type="noConversion"/>
  </si>
  <si>
    <t>김준영</t>
    <phoneticPr fontId="4" type="noConversion"/>
  </si>
  <si>
    <t>성민혁</t>
    <phoneticPr fontId="4" type="noConversion"/>
  </si>
  <si>
    <t>정규</t>
    <phoneticPr fontId="1" type="noConversion"/>
  </si>
  <si>
    <t>개발3팀</t>
    <phoneticPr fontId="1" type="noConversion"/>
  </si>
  <si>
    <t>파트장</t>
    <phoneticPr fontId="4" type="noConversion"/>
  </si>
  <si>
    <t>정규</t>
  </si>
  <si>
    <t>김연호</t>
  </si>
  <si>
    <t>제어파트</t>
    <phoneticPr fontId="1" type="noConversion"/>
  </si>
  <si>
    <t>제어파트</t>
  </si>
  <si>
    <t>심효정</t>
    <phoneticPr fontId="4" type="noConversion"/>
  </si>
  <si>
    <t>퇴근시간</t>
    <phoneticPr fontId="1" type="noConversion"/>
  </si>
  <si>
    <t>연장시간</t>
    <phoneticPr fontId="1" type="noConversion"/>
  </si>
  <si>
    <t>출근시간</t>
    <phoneticPr fontId="1" type="noConversion"/>
  </si>
  <si>
    <t>구분</t>
    <phoneticPr fontId="1" type="noConversion"/>
  </si>
  <si>
    <t>평일</t>
    <phoneticPr fontId="1" type="noConversion"/>
  </si>
  <si>
    <t>주말</t>
    <phoneticPr fontId="1" type="noConversion"/>
  </si>
  <si>
    <t>휴무</t>
    <phoneticPr fontId="1" type="noConversion"/>
  </si>
  <si>
    <t>주말</t>
  </si>
  <si>
    <t>신규 모델 관련 업무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</si>
</sst>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-* #,##0.0_-;\-* #,##0.0_-;_-* &quot;-&quot;_-;_-@_-"/>
    <numFmt numFmtId="177" formatCode="h:mm;@"/>
    <numFmt numFmtId="178" formatCode="yyyy/mm/dd\(aaa\)"/>
    <numFmt numFmtId="179" formatCode="mm/dd\(aaa\)"/>
    <numFmt numFmtId="180" formatCode="[hh]:mm"/>
    <numFmt numFmtId="181" formatCode="0.0_);[Red]\(0.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1"/>
      <color rgb="FFFF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1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2" fillId="3" borderId="1" xfId="1" applyFill="1" applyBorder="1" applyAlignment="1">
      <alignment horizontal="center" vertical="center"/>
    </xf>
    <xf numFmtId="176" fontId="3" fillId="0" borderId="2" xfId="2" quotePrefix="1" applyNumberFormat="1" applyFont="1" applyBorder="1" applyAlignment="1">
      <alignment horizontal="center" vertical="center"/>
    </xf>
    <xf numFmtId="176" fontId="3" fillId="0" borderId="2" xfId="2" quotePrefix="1" applyNumberFormat="1" applyFont="1" applyBorder="1" applyAlignment="1">
      <alignment vertical="center"/>
    </xf>
    <xf numFmtId="0" fontId="2" fillId="0" borderId="2" xfId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176" fontId="3" fillId="0" borderId="5" xfId="2" quotePrefix="1" applyNumberFormat="1" applyFont="1" applyBorder="1" applyAlignment="1">
      <alignment vertical="center"/>
    </xf>
    <xf numFmtId="176" fontId="3" fillId="0" borderId="5" xfId="2" quotePrefix="1" applyNumberFormat="1" applyFon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176" fontId="3" fillId="0" borderId="8" xfId="2" quotePrefix="1" applyNumberFormat="1" applyFont="1" applyBorder="1" applyAlignment="1">
      <alignment horizontal="center" vertical="center"/>
    </xf>
    <xf numFmtId="176" fontId="3" fillId="0" borderId="8" xfId="2" quotePrefix="1" applyNumberFormat="1" applyFont="1" applyBorder="1" applyAlignment="1">
      <alignment vertical="center"/>
    </xf>
    <xf numFmtId="0" fontId="2" fillId="0" borderId="4" xfId="1" applyBorder="1" applyAlignment="1">
      <alignment horizontal="center" vertical="center"/>
    </xf>
    <xf numFmtId="0" fontId="6" fillId="0" borderId="0" xfId="1" applyFont="1">
      <alignment vertical="center"/>
    </xf>
    <xf numFmtId="177" fontId="6" fillId="0" borderId="0" xfId="1" applyNumberFormat="1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41" fontId="6" fillId="0" borderId="0" xfId="2" applyFont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177" fontId="8" fillId="0" borderId="0" xfId="1" applyNumberFormat="1" applyFont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41" fontId="8" fillId="0" borderId="0" xfId="2" applyFont="1" applyAlignment="1">
      <alignment horizontal="center" vertical="center"/>
    </xf>
    <xf numFmtId="178" fontId="9" fillId="0" borderId="14" xfId="1" applyNumberFormat="1" applyFont="1" applyBorder="1" applyAlignment="1">
      <alignment horizontal="left" vertical="center"/>
    </xf>
    <xf numFmtId="178" fontId="9" fillId="0" borderId="14" xfId="1" applyNumberFormat="1" applyFont="1" applyBorder="1">
      <alignment vertical="center"/>
    </xf>
    <xf numFmtId="179" fontId="10" fillId="6" borderId="19" xfId="1" applyNumberFormat="1" applyFont="1" applyFill="1" applyBorder="1" applyAlignment="1">
      <alignment horizontal="center" vertical="center"/>
    </xf>
    <xf numFmtId="179" fontId="10" fillId="7" borderId="21" xfId="1" applyNumberFormat="1" applyFont="1" applyFill="1" applyBorder="1" applyAlignment="1">
      <alignment horizontal="center" vertical="center"/>
    </xf>
    <xf numFmtId="41" fontId="10" fillId="7" borderId="22" xfId="2" applyFont="1" applyFill="1" applyBorder="1" applyAlignment="1">
      <alignment horizontal="center" vertical="center" wrapText="1"/>
    </xf>
    <xf numFmtId="179" fontId="10" fillId="7" borderId="23" xfId="1" applyNumberFormat="1" applyFont="1" applyFill="1" applyBorder="1" applyAlignment="1">
      <alignment horizontal="center" vertical="center"/>
    </xf>
    <xf numFmtId="179" fontId="10" fillId="7" borderId="24" xfId="1" applyNumberFormat="1" applyFont="1" applyFill="1" applyBorder="1" applyAlignment="1">
      <alignment horizontal="center" vertical="center"/>
    </xf>
    <xf numFmtId="41" fontId="10" fillId="7" borderId="0" xfId="2" applyFont="1" applyFill="1" applyBorder="1" applyAlignment="1">
      <alignment horizontal="center" vertical="center" wrapText="1"/>
    </xf>
    <xf numFmtId="179" fontId="10" fillId="7" borderId="32" xfId="1" applyNumberFormat="1" applyFont="1" applyFill="1" applyBorder="1" applyAlignment="1">
      <alignment horizontal="center" vertical="center"/>
    </xf>
    <xf numFmtId="179" fontId="10" fillId="7" borderId="33" xfId="1" applyNumberFormat="1" applyFont="1" applyFill="1" applyBorder="1" applyAlignment="1">
      <alignment horizontal="center" vertical="center"/>
    </xf>
    <xf numFmtId="0" fontId="10" fillId="6" borderId="34" xfId="1" applyFont="1" applyFill="1" applyBorder="1" applyAlignment="1">
      <alignment horizontal="center" vertical="center"/>
    </xf>
    <xf numFmtId="0" fontId="10" fillId="6" borderId="30" xfId="1" applyFont="1" applyFill="1" applyBorder="1" applyAlignment="1">
      <alignment horizontal="center" vertical="center"/>
    </xf>
    <xf numFmtId="180" fontId="10" fillId="7" borderId="36" xfId="1" applyNumberFormat="1" applyFont="1" applyFill="1" applyBorder="1" applyAlignment="1">
      <alignment horizontal="center" vertical="center"/>
    </xf>
    <xf numFmtId="180" fontId="10" fillId="7" borderId="37" xfId="1" applyNumberFormat="1" applyFont="1" applyFill="1" applyBorder="1" applyAlignment="1">
      <alignment horizontal="center" vertical="center"/>
    </xf>
    <xf numFmtId="0" fontId="10" fillId="6" borderId="31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177" fontId="3" fillId="8" borderId="40" xfId="0" applyNumberFormat="1" applyFont="1" applyFill="1" applyBorder="1" applyAlignment="1">
      <alignment horizontal="center" vertical="center"/>
    </xf>
    <xf numFmtId="176" fontId="3" fillId="2" borderId="25" xfId="2" applyNumberFormat="1" applyFont="1" applyFill="1" applyBorder="1" applyAlignment="1">
      <alignment horizontal="center" vertical="center"/>
    </xf>
    <xf numFmtId="177" fontId="3" fillId="8" borderId="25" xfId="0" applyNumberFormat="1" applyFont="1" applyFill="1" applyBorder="1" applyAlignment="1">
      <alignment horizontal="center" vertical="center"/>
    </xf>
    <xf numFmtId="181" fontId="3" fillId="2" borderId="41" xfId="2" applyNumberFormat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76" fontId="3" fillId="2" borderId="41" xfId="2" applyNumberFormat="1" applyFont="1" applyFill="1" applyBorder="1" applyAlignment="1">
      <alignment horizontal="center" vertical="center"/>
    </xf>
    <xf numFmtId="41" fontId="3" fillId="0" borderId="40" xfId="2" applyFont="1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2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81" fontId="3" fillId="0" borderId="41" xfId="2" applyNumberFormat="1" applyFont="1" applyBorder="1" applyAlignment="1">
      <alignment horizontal="center" vertical="center"/>
    </xf>
    <xf numFmtId="176" fontId="3" fillId="0" borderId="25" xfId="2" applyNumberFormat="1" applyFont="1" applyBorder="1" applyAlignment="1">
      <alignment horizontal="center" vertical="center"/>
    </xf>
    <xf numFmtId="176" fontId="3" fillId="0" borderId="41" xfId="2" applyNumberFormat="1" applyFont="1" applyBorder="1" applyAlignment="1">
      <alignment horizontal="center" vertical="center"/>
    </xf>
    <xf numFmtId="176" fontId="3" fillId="0" borderId="25" xfId="2" applyNumberFormat="1" applyFont="1" applyFill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177" fontId="3" fillId="8" borderId="43" xfId="0" applyNumberFormat="1" applyFont="1" applyFill="1" applyBorder="1" applyAlignment="1">
      <alignment horizontal="center" vertical="center"/>
    </xf>
    <xf numFmtId="176" fontId="3" fillId="0" borderId="42" xfId="2" applyNumberFormat="1" applyFont="1" applyBorder="1" applyAlignment="1">
      <alignment horizontal="center" vertical="center"/>
    </xf>
    <xf numFmtId="177" fontId="3" fillId="8" borderId="42" xfId="0" applyNumberFormat="1" applyFont="1" applyFill="1" applyBorder="1" applyAlignment="1">
      <alignment horizontal="center" vertical="center"/>
    </xf>
    <xf numFmtId="176" fontId="3" fillId="2" borderId="42" xfId="2" applyNumberFormat="1" applyFont="1" applyFill="1" applyBorder="1" applyAlignment="1">
      <alignment horizontal="center" vertical="center"/>
    </xf>
    <xf numFmtId="181" fontId="3" fillId="0" borderId="44" xfId="2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176" fontId="3" fillId="0" borderId="44" xfId="2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180" fontId="12" fillId="0" borderId="5" xfId="3" applyNumberFormat="1" applyBorder="1" applyAlignment="1">
      <alignment horizontal="right" vertical="center"/>
    </xf>
    <xf numFmtId="176" fontId="12" fillId="0" borderId="5" xfId="2" applyNumberFormat="1" applyFont="1" applyBorder="1" applyAlignment="1">
      <alignment horizontal="right" vertical="center"/>
    </xf>
    <xf numFmtId="0" fontId="12" fillId="0" borderId="0" xfId="3" applyAlignment="1">
      <alignment horizontal="center" vertical="center"/>
    </xf>
    <xf numFmtId="180" fontId="13" fillId="9" borderId="5" xfId="3" applyNumberFormat="1" applyFont="1" applyFill="1" applyBorder="1" applyAlignment="1">
      <alignment horizontal="right" vertical="center"/>
    </xf>
    <xf numFmtId="176" fontId="13" fillId="9" borderId="5" xfId="2" applyNumberFormat="1" applyFont="1" applyFill="1" applyBorder="1" applyAlignment="1">
      <alignment horizontal="right" vertical="center"/>
    </xf>
    <xf numFmtId="180" fontId="12" fillId="8" borderId="5" xfId="3" applyNumberFormat="1" applyFill="1" applyBorder="1" applyAlignment="1">
      <alignment horizontal="right" vertical="center"/>
    </xf>
    <xf numFmtId="176" fontId="12" fillId="8" borderId="5" xfId="2" applyNumberFormat="1" applyFont="1" applyFill="1" applyBorder="1" applyAlignment="1">
      <alignment horizontal="right" vertical="center"/>
    </xf>
    <xf numFmtId="0" fontId="12" fillId="0" borderId="0" xfId="3">
      <alignment vertical="center"/>
    </xf>
    <xf numFmtId="180" fontId="12" fillId="0" borderId="0" xfId="3" applyNumberFormat="1" applyAlignment="1">
      <alignment horizontal="right" vertical="center"/>
    </xf>
    <xf numFmtId="176" fontId="12" fillId="0" borderId="0" xfId="2" applyNumberFormat="1" applyFont="1" applyAlignment="1">
      <alignment horizontal="right" vertical="center"/>
    </xf>
    <xf numFmtId="180" fontId="10" fillId="7" borderId="45" xfId="1" applyNumberFormat="1" applyFont="1" applyFill="1" applyBorder="1" applyAlignment="1">
      <alignment horizontal="center" vertical="center"/>
    </xf>
    <xf numFmtId="180" fontId="10" fillId="7" borderId="30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176" fontId="3" fillId="2" borderId="0" xfId="2" applyNumberFormat="1" applyFont="1" applyFill="1" applyBorder="1" applyAlignment="1">
      <alignment horizontal="center" vertical="center"/>
    </xf>
    <xf numFmtId="181" fontId="3" fillId="2" borderId="0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3" fillId="0" borderId="0" xfId="2" applyNumberFormat="1" applyFont="1" applyBorder="1" applyAlignment="1">
      <alignment horizontal="center" vertical="center"/>
    </xf>
    <xf numFmtId="181" fontId="3" fillId="0" borderId="0" xfId="2" applyNumberFormat="1" applyFont="1" applyBorder="1" applyAlignment="1">
      <alignment horizontal="center" vertical="center"/>
    </xf>
    <xf numFmtId="176" fontId="3" fillId="0" borderId="0" xfId="2" applyNumberFormat="1" applyFont="1" applyFill="1" applyBorder="1" applyAlignment="1">
      <alignment horizontal="center" vertical="center"/>
    </xf>
    <xf numFmtId="0" fontId="10" fillId="7" borderId="31" xfId="1" applyFont="1" applyFill="1" applyBorder="1" applyAlignment="1">
      <alignment horizontal="center" vertical="center"/>
    </xf>
    <xf numFmtId="0" fontId="10" fillId="7" borderId="39" xfId="1" applyFont="1" applyFill="1" applyBorder="1" applyAlignment="1">
      <alignment horizontal="center" vertical="center"/>
    </xf>
    <xf numFmtId="14" fontId="10" fillId="7" borderId="20" xfId="1" applyNumberFormat="1" applyFont="1" applyFill="1" applyBorder="1" applyAlignment="1">
      <alignment horizontal="center" vertical="center"/>
    </xf>
    <xf numFmtId="14" fontId="10" fillId="7" borderId="17" xfId="1" applyNumberFormat="1" applyFont="1" applyFill="1" applyBorder="1" applyAlignment="1">
      <alignment horizontal="center" vertical="center"/>
    </xf>
    <xf numFmtId="14" fontId="10" fillId="7" borderId="18" xfId="1" applyNumberFormat="1" applyFont="1" applyFill="1" applyBorder="1" applyAlignment="1">
      <alignment horizontal="center" vertical="center"/>
    </xf>
    <xf numFmtId="0" fontId="10" fillId="6" borderId="26" xfId="1" applyFont="1" applyFill="1" applyBorder="1" applyAlignment="1">
      <alignment horizontal="center" vertical="center"/>
    </xf>
    <xf numFmtId="0" fontId="10" fillId="6" borderId="27" xfId="1" applyFont="1" applyFill="1" applyBorder="1" applyAlignment="1">
      <alignment horizontal="center" vertical="center"/>
    </xf>
    <xf numFmtId="0" fontId="10" fillId="6" borderId="28" xfId="1" applyFont="1" applyFill="1" applyBorder="1" applyAlignment="1">
      <alignment horizontal="center" vertical="center"/>
    </xf>
    <xf numFmtId="0" fontId="10" fillId="6" borderId="29" xfId="1" applyFont="1" applyFill="1" applyBorder="1" applyAlignment="1">
      <alignment horizontal="center" vertical="center"/>
    </xf>
    <xf numFmtId="0" fontId="10" fillId="6" borderId="30" xfId="1" applyFont="1" applyFill="1" applyBorder="1" applyAlignment="1">
      <alignment horizontal="center" vertical="center" wrapText="1"/>
    </xf>
    <xf numFmtId="0" fontId="10" fillId="6" borderId="35" xfId="1" applyFont="1" applyFill="1" applyBorder="1" applyAlignment="1">
      <alignment horizontal="center" vertical="center" wrapText="1"/>
    </xf>
    <xf numFmtId="176" fontId="10" fillId="6" borderId="30" xfId="2" applyNumberFormat="1" applyFont="1" applyFill="1" applyBorder="1" applyAlignment="1">
      <alignment horizontal="center" vertical="center"/>
    </xf>
    <xf numFmtId="176" fontId="10" fillId="6" borderId="35" xfId="2" applyNumberFormat="1" applyFont="1" applyFill="1" applyBorder="1" applyAlignment="1">
      <alignment horizontal="center" vertical="center"/>
    </xf>
    <xf numFmtId="0" fontId="10" fillId="7" borderId="28" xfId="1" applyFont="1" applyFill="1" applyBorder="1" applyAlignment="1">
      <alignment horizontal="center" vertical="center"/>
    </xf>
    <xf numFmtId="0" fontId="10" fillId="7" borderId="27" xfId="1" applyFont="1" applyFill="1" applyBorder="1" applyAlignment="1">
      <alignment horizontal="center" vertical="center"/>
    </xf>
    <xf numFmtId="176" fontId="10" fillId="7" borderId="30" xfId="2" applyNumberFormat="1" applyFont="1" applyFill="1" applyBorder="1" applyAlignment="1">
      <alignment horizontal="center" vertical="center"/>
    </xf>
    <xf numFmtId="176" fontId="10" fillId="7" borderId="35" xfId="2" applyNumberFormat="1" applyFont="1" applyFill="1" applyBorder="1" applyAlignment="1">
      <alignment horizontal="center" vertical="center"/>
    </xf>
    <xf numFmtId="0" fontId="10" fillId="6" borderId="16" xfId="1" applyFont="1" applyFill="1" applyBorder="1" applyAlignment="1">
      <alignment horizontal="center" vertical="center"/>
    </xf>
    <xf numFmtId="0" fontId="10" fillId="6" borderId="17" xfId="1" applyFont="1" applyFill="1" applyBorder="1" applyAlignment="1">
      <alignment horizontal="center" vertical="center"/>
    </xf>
    <xf numFmtId="0" fontId="10" fillId="6" borderId="18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25" xfId="1" applyFont="1" applyFill="1" applyBorder="1" applyAlignment="1">
      <alignment horizontal="center" vertical="center"/>
    </xf>
    <xf numFmtId="176" fontId="10" fillId="7" borderId="38" xfId="2" applyNumberFormat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</cellXfs>
  <cellStyles count="4">
    <cellStyle name="쉼표 [0] 2" xfId="2" xr:uid="{568B50CF-40DC-417A-94CB-A701E6777E6C}"/>
    <cellStyle name="표준" xfId="0" builtinId="0"/>
    <cellStyle name="표준 2 3" xfId="1" xr:uid="{4AE7FCA5-C021-4CBA-9ECA-10FC560C5D1B}"/>
    <cellStyle name="표준 4" xfId="3" xr:uid="{9616D398-122E-4DCB-B9BF-D4E977D833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ork's%20File/Sub%20Work/&#51068;&#51068;&#44540;&#47924;/&#50672;&#51109;&#44540;&#47924;%20&#49888;&#52397;%20&#54788;&#54889;_AF%20&#44060;&#48156;P_202603017.xlsx" TargetMode="External"/><Relationship Id="rId2" Type="http://schemas.openxmlformats.org/officeDocument/2006/relationships/externalLinkPath" Target="file:///C:\Users\&#44608;&#45224;&#54984;\Desktop\Work's%20File\Sub%20Work\&#51068;&#51068;&#44540;&#47924;\&#50672;&#51109;&#44540;&#47924;%20&#49888;&#52397;%20&#54788;&#54889;_AF%20&#44060;&#48156;P_202603017.xlsx" TargetMode="External"/><Relationship Id="rId1" Type="http://schemas.openxmlformats.org/officeDocument/2006/relationships/externalLinkPath" Target="/Users/&#44608;&#45224;&#54984;/Desktop/Work's%20File/Sub%20Work/&#51068;&#51068;&#44540;&#47924;/&#50672;&#51109;&#44540;&#47924;%20&#49888;&#52397;%20&#54788;&#54889;_AF%20&#44060;&#48156;P_202603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기준"/>
      <sheetName val="6월1일"/>
      <sheetName val="6월2일"/>
      <sheetName val="6월3일"/>
      <sheetName val="6월4일"/>
      <sheetName val="6월5일"/>
      <sheetName val="6월6일"/>
      <sheetName val="6월7일"/>
      <sheetName val="6월8일"/>
      <sheetName val="6월9일"/>
      <sheetName val="6월10일"/>
      <sheetName val="6월12일"/>
      <sheetName val="6월13일"/>
      <sheetName val="6월14일"/>
      <sheetName val="6월15일"/>
      <sheetName val="6월16일"/>
      <sheetName val="6월17일"/>
      <sheetName val="6월18일"/>
      <sheetName val="6월19일"/>
      <sheetName val="6월20일"/>
      <sheetName val="6월21일"/>
      <sheetName val="6월22일"/>
      <sheetName val="6월23일"/>
      <sheetName val="6월24일"/>
      <sheetName val="6월25일"/>
      <sheetName val="6월26일"/>
      <sheetName val="6월27일"/>
      <sheetName val="6월28일"/>
      <sheetName val="6월29일"/>
      <sheetName val="6월30일"/>
      <sheetName val="7월1일"/>
      <sheetName val="7월2일"/>
      <sheetName val="7월3일"/>
      <sheetName val="7월4일"/>
      <sheetName val="7월5일"/>
      <sheetName val="7월6일"/>
      <sheetName val="7월7일"/>
      <sheetName val="7월8일"/>
      <sheetName val="7월9일"/>
      <sheetName val="7월10일"/>
      <sheetName val="7월11일"/>
      <sheetName val="7월12일"/>
      <sheetName val="7월13일"/>
      <sheetName val="7월14일"/>
      <sheetName val="7월15일"/>
      <sheetName val="7월16일"/>
      <sheetName val="7월17일"/>
      <sheetName val="7월18일"/>
      <sheetName val="7월19일"/>
      <sheetName val="7월20일"/>
      <sheetName val="7월21일"/>
      <sheetName val="7월22일 "/>
      <sheetName val="7월23일"/>
      <sheetName val="7월24일"/>
      <sheetName val="7월25일"/>
      <sheetName val="7월26일"/>
      <sheetName val="7월27일"/>
      <sheetName val="7월28일"/>
      <sheetName val="7월29일"/>
      <sheetName val="7월30일"/>
      <sheetName val="7월31일"/>
      <sheetName val="8월1일"/>
      <sheetName val="8월2일"/>
      <sheetName val="8월3일"/>
      <sheetName val="8월4일"/>
      <sheetName val="8월5일"/>
      <sheetName val="8월6일"/>
      <sheetName val="8월7일"/>
      <sheetName val="8월8일"/>
      <sheetName val="8월9일"/>
      <sheetName val="8월10일"/>
      <sheetName val="8월11일"/>
      <sheetName val="8월12일"/>
      <sheetName val="8월13일"/>
      <sheetName val="8월14일"/>
      <sheetName val="8월15일"/>
      <sheetName val="8월16일"/>
      <sheetName val="8월17일"/>
      <sheetName val="8월18일"/>
      <sheetName val="8월19일"/>
      <sheetName val="8월20일"/>
      <sheetName val="8월21일"/>
      <sheetName val="8월22일"/>
      <sheetName val="8월23일"/>
      <sheetName val="8월24일"/>
      <sheetName val="8월25일"/>
      <sheetName val="8월26일"/>
      <sheetName val="8월27일"/>
      <sheetName val="8월28일"/>
      <sheetName val="8월29일"/>
      <sheetName val="8월30일"/>
      <sheetName val="8월31일"/>
      <sheetName val="9월1일"/>
      <sheetName val="9월2일"/>
      <sheetName val="9월3일"/>
      <sheetName val="9월4일"/>
      <sheetName val="9월5일"/>
      <sheetName val="9월6일"/>
      <sheetName val="9월7일"/>
      <sheetName val="9월8일"/>
      <sheetName val="9월9일"/>
      <sheetName val="9월10일"/>
      <sheetName val="9월11일"/>
      <sheetName val="9월12일"/>
      <sheetName val="9월13일"/>
      <sheetName val="9월14일"/>
      <sheetName val="9월15일"/>
      <sheetName val="9월16일"/>
      <sheetName val="9월17일"/>
      <sheetName val="9월18일"/>
      <sheetName val="9월19일"/>
      <sheetName val="9월20일"/>
      <sheetName val="9월21일"/>
      <sheetName val="9월22일"/>
      <sheetName val="9월23일"/>
      <sheetName val="9월24일"/>
      <sheetName val="9월25일"/>
      <sheetName val="9월26일"/>
      <sheetName val="9월27일"/>
      <sheetName val="9월28일"/>
      <sheetName val="9월29일"/>
      <sheetName val="9월30일"/>
      <sheetName val="10월01일"/>
      <sheetName val="10월02일"/>
      <sheetName val="10월03일"/>
      <sheetName val="10월04일"/>
      <sheetName val="10월5일"/>
      <sheetName val="10월06일"/>
      <sheetName val="10월07일"/>
      <sheetName val="10월08일"/>
      <sheetName val="10월09일"/>
      <sheetName val="10월10일"/>
      <sheetName val="10월11일"/>
      <sheetName val="10월12일"/>
      <sheetName val="10월13일"/>
      <sheetName val="10월14일"/>
      <sheetName val="10월15일"/>
      <sheetName val="10월16일"/>
      <sheetName val="10월17일"/>
      <sheetName val="10월18일"/>
      <sheetName val="10월19일"/>
      <sheetName val="10월20일"/>
      <sheetName val="10월21일"/>
      <sheetName val="10월22일"/>
      <sheetName val="10월23일"/>
      <sheetName val="10월24일"/>
      <sheetName val="10월25일"/>
      <sheetName val="10월26일"/>
      <sheetName val="10월27일"/>
      <sheetName val="10월28일"/>
      <sheetName val="10월29일"/>
      <sheetName val="10월30일"/>
      <sheetName val="10월31일"/>
      <sheetName val="11월01일"/>
      <sheetName val="11월02일"/>
      <sheetName val="11월03일"/>
      <sheetName val="11월04일"/>
      <sheetName val="11월05일"/>
      <sheetName val="11월06일"/>
      <sheetName val="11월07일"/>
      <sheetName val="11월08일"/>
      <sheetName val="11월09일"/>
      <sheetName val="11월10일"/>
      <sheetName val="11월11일"/>
      <sheetName val="11월12일"/>
      <sheetName val="11월13일"/>
      <sheetName val="11월14일"/>
      <sheetName val="11월15일"/>
      <sheetName val="11월16일"/>
      <sheetName val="11월17일"/>
      <sheetName val="11월18일"/>
      <sheetName val="11월19일"/>
      <sheetName val="11월20일"/>
      <sheetName val="11월21일"/>
      <sheetName val="11월22일"/>
      <sheetName val="11월24일"/>
      <sheetName val="11월23일"/>
      <sheetName val="11월25일"/>
      <sheetName val="11월26일"/>
      <sheetName val="11월27일"/>
      <sheetName val="11월28일"/>
      <sheetName val="11월29일"/>
      <sheetName val="11월30일"/>
      <sheetName val="12월01일"/>
      <sheetName val="12월02일"/>
      <sheetName val="12월03일"/>
      <sheetName val="12월04일"/>
      <sheetName val="12월05일"/>
      <sheetName val="12월06일"/>
      <sheetName val="12월07일"/>
      <sheetName val="12월08일"/>
      <sheetName val="12월09일"/>
      <sheetName val="12월10일"/>
      <sheetName val="12월11일"/>
      <sheetName val="12월12일"/>
      <sheetName val="12월13일"/>
      <sheetName val="12월14일"/>
      <sheetName val="12월15일"/>
      <sheetName val="12월16일"/>
      <sheetName val="12월17일"/>
      <sheetName val="12월18일"/>
      <sheetName val="12월19일"/>
      <sheetName val="12월20일"/>
      <sheetName val="12월21일"/>
      <sheetName val="12월22일"/>
      <sheetName val="12월23일"/>
      <sheetName val="12월24일"/>
      <sheetName val="12월25일"/>
      <sheetName val="12월26일"/>
      <sheetName val="12월27일"/>
      <sheetName val="12월28일"/>
      <sheetName val="12월29일"/>
      <sheetName val="12월30일"/>
      <sheetName val="12월31일"/>
      <sheetName val="01월01일"/>
      <sheetName val="01월02일"/>
      <sheetName val="01월03일"/>
      <sheetName val="01월04일"/>
      <sheetName val="01월05일"/>
      <sheetName val="01월06일"/>
      <sheetName val="01월07일"/>
      <sheetName val="01월08일"/>
      <sheetName val="01월09일"/>
      <sheetName val="01월10일"/>
      <sheetName val="01월11일 "/>
      <sheetName val="01월12일"/>
      <sheetName val="01월13일"/>
      <sheetName val="01월14일"/>
      <sheetName val="01월15일"/>
      <sheetName val="01월16일"/>
      <sheetName val="01월17일"/>
      <sheetName val="01월18일"/>
      <sheetName val="01월19일"/>
      <sheetName val="01월20일"/>
      <sheetName val="01월21일"/>
      <sheetName val="01월22일"/>
      <sheetName val="01월23일"/>
      <sheetName val="01월24일"/>
      <sheetName val="01월25일"/>
      <sheetName val="01월26일"/>
      <sheetName val="01월27일"/>
      <sheetName val="01월28일"/>
      <sheetName val="01월29일"/>
      <sheetName val="01월30일"/>
      <sheetName val="01월31일"/>
      <sheetName val="02월01일"/>
      <sheetName val="02월02일"/>
      <sheetName val="02월03일"/>
      <sheetName val="02월04일"/>
      <sheetName val="02월05일"/>
      <sheetName val="02월06일"/>
      <sheetName val="02월07일"/>
      <sheetName val="02월08일"/>
      <sheetName val="02월09일"/>
      <sheetName val="02월10일"/>
      <sheetName val="02월11일"/>
      <sheetName val="02월12일"/>
      <sheetName val="02월13일"/>
      <sheetName val="02월14일"/>
      <sheetName val="02월15일"/>
      <sheetName val="02월16일"/>
      <sheetName val="02월17일"/>
      <sheetName val="02월18일"/>
      <sheetName val="02월19일"/>
      <sheetName val="02월20일"/>
      <sheetName val="02월21일"/>
      <sheetName val="02월22일"/>
      <sheetName val="02월23일"/>
      <sheetName val="02월24일"/>
      <sheetName val="02월25일"/>
      <sheetName val="02월26일"/>
      <sheetName val="02월27일"/>
      <sheetName val="02월28일"/>
      <sheetName val="03월01일"/>
      <sheetName val="03월02일"/>
      <sheetName val="03월03일"/>
      <sheetName val="03월04일"/>
      <sheetName val="03월05일"/>
      <sheetName val="03월06일"/>
      <sheetName val="03월07일"/>
      <sheetName val="03월08일"/>
      <sheetName val="03월09일"/>
      <sheetName val="03월10일"/>
      <sheetName val="03월11일"/>
      <sheetName val="03월12일"/>
      <sheetName val="03월13일"/>
      <sheetName val="03월14일"/>
      <sheetName val="03월15일"/>
      <sheetName val="03월16일"/>
      <sheetName val="03월17일"/>
      <sheetName val="03월18일"/>
      <sheetName val="03월19일"/>
      <sheetName val="03월20일"/>
      <sheetName val="03월21일"/>
      <sheetName val="03월22일"/>
      <sheetName val="03월23일"/>
      <sheetName val="03월24일"/>
      <sheetName val="03월25일"/>
      <sheetName val="03월26일"/>
      <sheetName val="03월27일"/>
      <sheetName val="03월28일"/>
      <sheetName val="03월29일"/>
      <sheetName val="03월30일"/>
      <sheetName val="03월31일"/>
      <sheetName val="04월01일"/>
      <sheetName val="04월02일"/>
      <sheetName val="04월03일"/>
      <sheetName val="04월04일"/>
      <sheetName val="04월05일"/>
      <sheetName val="04월06일"/>
      <sheetName val="04월07일"/>
      <sheetName val="04월08일"/>
      <sheetName val="04월09일"/>
      <sheetName val="04월10일"/>
      <sheetName val="04월11일"/>
      <sheetName val="04월12일"/>
      <sheetName val="04월13일"/>
      <sheetName val="04월14일"/>
      <sheetName val="04월15일"/>
      <sheetName val="04월16일"/>
      <sheetName val="04월17일"/>
      <sheetName val="04월18일"/>
      <sheetName val="04월19일"/>
      <sheetName val="04월20일"/>
      <sheetName val="04월21일"/>
      <sheetName val="04월22일"/>
      <sheetName val="04월23일"/>
      <sheetName val="04월24일"/>
      <sheetName val="04월25일"/>
      <sheetName val="04월26일"/>
      <sheetName val="04월27일"/>
      <sheetName val="04월28일"/>
      <sheetName val="04월29일"/>
      <sheetName val="04월30일"/>
      <sheetName val="05월01일"/>
      <sheetName val="05월02일"/>
      <sheetName val="05월03일"/>
      <sheetName val="05월04일"/>
      <sheetName val="05월05일"/>
      <sheetName val="05월06일"/>
      <sheetName val="05월07일"/>
      <sheetName val="05월08일"/>
      <sheetName val="05월09일"/>
      <sheetName val="05월10일"/>
      <sheetName val="05월11일"/>
      <sheetName val="05월12일"/>
      <sheetName val="05월13일"/>
      <sheetName val="05월14일"/>
      <sheetName val="05월15일"/>
      <sheetName val="05월16일"/>
      <sheetName val="05월17일"/>
      <sheetName val="05월18일 "/>
      <sheetName val="05월19일"/>
      <sheetName val="05월20일 "/>
      <sheetName val="05월21일"/>
      <sheetName val="05월22일"/>
      <sheetName val="05월23일"/>
      <sheetName val="05월24일"/>
      <sheetName val="05월25일"/>
      <sheetName val="05월26일"/>
      <sheetName val="05월27일"/>
      <sheetName val="05월28일"/>
      <sheetName val="05월29일"/>
      <sheetName val="05월30일"/>
      <sheetName val="05월31일"/>
      <sheetName val="06월01일"/>
      <sheetName val="06월02일"/>
      <sheetName val="06월3일"/>
      <sheetName val="06월4일"/>
      <sheetName val="06월5일"/>
      <sheetName val="06월6일"/>
      <sheetName val="06월7일"/>
      <sheetName val="06월8일"/>
      <sheetName val="06월9일"/>
      <sheetName val="06월10일"/>
      <sheetName val="06월11일"/>
      <sheetName val="06월12일"/>
      <sheetName val="06월13일"/>
      <sheetName val="06월14일"/>
      <sheetName val="06월15일"/>
      <sheetName val="06월16일"/>
      <sheetName val="06월17일"/>
      <sheetName val="06월18일"/>
      <sheetName val="06월19일"/>
      <sheetName val="06월20일"/>
      <sheetName val="06월21일"/>
      <sheetName val="06월22일"/>
      <sheetName val="06월23일"/>
      <sheetName val="06월24일"/>
      <sheetName val="06월25일"/>
      <sheetName val="06월26일"/>
      <sheetName val="06월27일"/>
      <sheetName val="06월28일"/>
      <sheetName val="06월29일"/>
      <sheetName val="06월30일"/>
      <sheetName val="07월01일"/>
      <sheetName val="07월02일"/>
      <sheetName val="07월03일"/>
      <sheetName val="07월04일"/>
      <sheetName val="07월05일"/>
      <sheetName val="07월06일"/>
      <sheetName val="07월07일"/>
      <sheetName val="07월08일"/>
      <sheetName val="07월09일"/>
      <sheetName val="07월10일"/>
      <sheetName val="07월11일"/>
      <sheetName val="07월12일"/>
      <sheetName val="07월13일"/>
      <sheetName val="07월14일"/>
      <sheetName val="07월15일"/>
      <sheetName val="07월16일"/>
      <sheetName val="07월17일"/>
      <sheetName val="07월18일"/>
      <sheetName val="07월19일"/>
      <sheetName val="07월20일"/>
      <sheetName val="07월21일"/>
      <sheetName val="07월22일"/>
      <sheetName val="07월23일"/>
      <sheetName val="07월24일"/>
      <sheetName val="07월25일"/>
      <sheetName val="07월26일"/>
      <sheetName val="07월27일"/>
      <sheetName val="07월28일"/>
      <sheetName val="07월29일"/>
      <sheetName val="07월30일"/>
      <sheetName val="07월31일"/>
      <sheetName val="08월01일"/>
      <sheetName val="08월02일"/>
      <sheetName val="08월03일"/>
      <sheetName val="08월04일"/>
      <sheetName val="08월05일"/>
      <sheetName val="08월06일"/>
      <sheetName val="08월07일"/>
      <sheetName val="08월08일"/>
      <sheetName val="08월09일"/>
      <sheetName val="08월10일"/>
      <sheetName val="08월11일"/>
      <sheetName val="08월12일"/>
      <sheetName val="08월13일"/>
      <sheetName val="08월14일"/>
      <sheetName val="08월15일"/>
      <sheetName val="08월16일"/>
      <sheetName val="08월17일"/>
      <sheetName val="08월18일"/>
      <sheetName val="08월19일"/>
      <sheetName val="08월20일"/>
      <sheetName val="08월21일"/>
      <sheetName val="08월22일"/>
      <sheetName val="08월23일"/>
      <sheetName val="08월24일"/>
      <sheetName val="08월25일"/>
      <sheetName val="08월26일"/>
      <sheetName val="08월27일"/>
      <sheetName val="08월28일"/>
      <sheetName val="08월29일"/>
      <sheetName val="08월30일"/>
      <sheetName val="08월31일"/>
      <sheetName val="09월01일"/>
      <sheetName val="09월02일"/>
      <sheetName val="09월03일"/>
      <sheetName val="09월04일"/>
      <sheetName val="09월05일"/>
      <sheetName val="09월06일"/>
      <sheetName val="09월07일"/>
      <sheetName val="09월08일"/>
      <sheetName val="09월09일"/>
      <sheetName val="09월10일"/>
      <sheetName val="09월11일"/>
      <sheetName val="09월12일"/>
      <sheetName val="09월13일"/>
      <sheetName val="09월14일"/>
      <sheetName val="09월15일"/>
      <sheetName val="09월16일"/>
      <sheetName val="09월17일"/>
      <sheetName val="09월18일"/>
      <sheetName val="09월19일"/>
      <sheetName val="09월20일"/>
      <sheetName val="09월21일"/>
      <sheetName val="09월22일"/>
      <sheetName val="09월23일"/>
      <sheetName val="09월24일"/>
      <sheetName val="09월25일"/>
      <sheetName val="09월26일"/>
      <sheetName val="09월27일"/>
      <sheetName val="09월28일"/>
      <sheetName val="09월29일"/>
      <sheetName val="09월30일"/>
      <sheetName val="10월1일"/>
      <sheetName val="10월2일"/>
      <sheetName val="10월3일"/>
      <sheetName val="10월4일"/>
      <sheetName val="10월 5일"/>
      <sheetName val="10월 6일"/>
      <sheetName val="10월 7일"/>
      <sheetName val="10월 8일"/>
      <sheetName val="10월 9일"/>
      <sheetName val="10월 10일"/>
      <sheetName val="10월 11일"/>
      <sheetName val="10월 12일"/>
      <sheetName val="10월 13일"/>
      <sheetName val="10월 14일"/>
      <sheetName val="10월 15일"/>
      <sheetName val="10월 16일"/>
      <sheetName val="10월 17일"/>
      <sheetName val="10월 18일"/>
      <sheetName val="10월 19일"/>
      <sheetName val="10월 20일"/>
      <sheetName val="10월 21일"/>
      <sheetName val="10월 22일"/>
      <sheetName val="10월 23일"/>
      <sheetName val="10월 24일"/>
      <sheetName val="10월 25일"/>
      <sheetName val="10월 26일"/>
      <sheetName val="10월 27일"/>
      <sheetName val="10월 28일"/>
      <sheetName val="10월 29일"/>
      <sheetName val="10월 30일"/>
      <sheetName val="10월 31일"/>
      <sheetName val="11월 01일"/>
      <sheetName val="11월 02일"/>
      <sheetName val="11월 03일"/>
      <sheetName val="11월 04일"/>
      <sheetName val="11월 05일"/>
      <sheetName val="11월 06일"/>
      <sheetName val="11월 07일"/>
      <sheetName val="11월 08일"/>
      <sheetName val="11월 09일"/>
      <sheetName val="11월 10일"/>
      <sheetName val="11월 11일"/>
      <sheetName val="11월 12일"/>
      <sheetName val="11월 13일"/>
      <sheetName val="11월 14일"/>
      <sheetName val="11월 15일"/>
      <sheetName val="11월 16일"/>
      <sheetName val="11월 17일"/>
      <sheetName val="11월 18일"/>
      <sheetName val="11월 19일"/>
      <sheetName val="11월 20일"/>
      <sheetName val="11월 21일"/>
      <sheetName val="11월 22일"/>
      <sheetName val="11월 23일"/>
      <sheetName val="11월 24일"/>
      <sheetName val="11월 25일"/>
      <sheetName val="11월 26일"/>
      <sheetName val="11월 27일"/>
      <sheetName val="11월 28일"/>
      <sheetName val="11월 29일"/>
      <sheetName val="11월 30일"/>
      <sheetName val="12월 01일"/>
      <sheetName val="12월 02일"/>
      <sheetName val="12월 03일"/>
      <sheetName val="12월 04일"/>
      <sheetName val="12월 05일"/>
      <sheetName val="12월 06일"/>
      <sheetName val="12월 07일"/>
      <sheetName val="12월 08일"/>
      <sheetName val="12월 09일"/>
      <sheetName val="12월 10일"/>
      <sheetName val="12월 11일"/>
      <sheetName val="12월 12일"/>
      <sheetName val="12월 13일"/>
      <sheetName val="12월 14일"/>
      <sheetName val="12월 15일"/>
      <sheetName val="12월 16일"/>
      <sheetName val="12월 17일"/>
      <sheetName val="12월 18일"/>
      <sheetName val="12월 19일"/>
      <sheetName val="12월 20일"/>
      <sheetName val="12월 21일"/>
      <sheetName val="12월 22일"/>
      <sheetName val="12월 23일"/>
      <sheetName val="12월 24일"/>
      <sheetName val="12월 25일"/>
      <sheetName val="12월 26일"/>
      <sheetName val="12월 27일"/>
      <sheetName val="12월 28일"/>
      <sheetName val="12월 29일"/>
      <sheetName val="12월 30일"/>
      <sheetName val="12월 31일"/>
      <sheetName val="1월 1일"/>
      <sheetName val="1월 2일"/>
      <sheetName val="1월 3일"/>
      <sheetName val="1월 4일"/>
      <sheetName val="1월 5일"/>
      <sheetName val="1월 6일"/>
      <sheetName val="1월 7일"/>
      <sheetName val="1월 8일"/>
      <sheetName val="1월 9일"/>
      <sheetName val="1월 10일"/>
      <sheetName val="1월 11일"/>
      <sheetName val="1월 12일"/>
      <sheetName val="1월 13일"/>
      <sheetName val="1월 14일"/>
      <sheetName val="1월 15일"/>
      <sheetName val="1월 16일"/>
      <sheetName val="1월 17일"/>
      <sheetName val="1월 18일"/>
      <sheetName val="1월 19일"/>
      <sheetName val="1월 20일"/>
      <sheetName val="1월 21일"/>
      <sheetName val="1월 22일"/>
      <sheetName val="1월 23일"/>
      <sheetName val="1월 24일"/>
      <sheetName val="1월 25일"/>
      <sheetName val="1월 26일"/>
      <sheetName val="1월 27일"/>
      <sheetName val="1월 28일"/>
      <sheetName val="1월 29일"/>
      <sheetName val="1월 30일"/>
      <sheetName val="1월 31일"/>
      <sheetName val="2월 01일"/>
      <sheetName val="2월 02일"/>
      <sheetName val="2월 03일"/>
      <sheetName val="2월 04일"/>
      <sheetName val="2월 05일"/>
      <sheetName val="2월 06일"/>
      <sheetName val="2월 07일"/>
      <sheetName val="2월 08일"/>
      <sheetName val="2월 09일"/>
      <sheetName val="2월 10일"/>
      <sheetName val="2월 11일"/>
      <sheetName val="2월 12일"/>
      <sheetName val="2월 13일"/>
      <sheetName val="2월 14일"/>
      <sheetName val="2월 15일"/>
      <sheetName val="2월 16일"/>
      <sheetName val="2월 17일"/>
      <sheetName val="2월 18일"/>
      <sheetName val="2월 19일"/>
      <sheetName val="2월 20일"/>
      <sheetName val="2월 21일"/>
      <sheetName val="2월 22일"/>
      <sheetName val="2월 23일"/>
      <sheetName val="2월 24일"/>
      <sheetName val="2월 25일"/>
      <sheetName val="2월 26일"/>
      <sheetName val="2월 27일"/>
      <sheetName val="2월 28일"/>
      <sheetName val="3월 1일"/>
      <sheetName val="3월 2일"/>
      <sheetName val="3월 3일"/>
      <sheetName val="3월 4일"/>
      <sheetName val="3월 5일"/>
      <sheetName val="3월 6일"/>
      <sheetName val="3월 7일"/>
      <sheetName val="3월 8일"/>
      <sheetName val="3월 9일"/>
      <sheetName val="3월 10일"/>
      <sheetName val="3월 11일"/>
      <sheetName val="3월 12일"/>
      <sheetName val="3월 13일"/>
      <sheetName val="3월 14일"/>
      <sheetName val="3월 15일"/>
      <sheetName val="3월 16일"/>
      <sheetName val="3월 17일"/>
      <sheetName val="주 연장근무 현황"/>
    </sheetNames>
    <sheetDataSet>
      <sheetData sheetId="0">
        <row r="1">
          <cell r="B1"/>
          <cell r="C1"/>
        </row>
        <row r="2">
          <cell r="B2" t="str">
            <v>퇴근시간</v>
          </cell>
          <cell r="C2" t="str">
            <v>연장시간</v>
          </cell>
          <cell r="D2" t="str">
            <v>출근시간</v>
          </cell>
          <cell r="E2" t="str">
            <v>연장시간</v>
          </cell>
          <cell r="F2" t="str">
            <v>연장시간</v>
          </cell>
          <cell r="G2" t="str">
            <v>퇴근시간</v>
          </cell>
        </row>
        <row r="3">
          <cell r="B3">
            <v>0.35416666666666602</v>
          </cell>
          <cell r="C3">
            <v>-8</v>
          </cell>
          <cell r="D3">
            <v>0.35416666666666602</v>
          </cell>
          <cell r="E3">
            <v>0</v>
          </cell>
          <cell r="F3">
            <v>-8</v>
          </cell>
          <cell r="G3">
            <v>0.35416666666666602</v>
          </cell>
        </row>
        <row r="4">
          <cell r="B4">
            <v>0.375</v>
          </cell>
          <cell r="C4">
            <v>-7.5</v>
          </cell>
          <cell r="D4">
            <v>0.375</v>
          </cell>
          <cell r="E4">
            <v>0.5</v>
          </cell>
          <cell r="F4">
            <v>-7.5</v>
          </cell>
          <cell r="G4">
            <v>0.375</v>
          </cell>
        </row>
        <row r="5">
          <cell r="B5">
            <v>0.39583333333333298</v>
          </cell>
          <cell r="C5">
            <v>-7</v>
          </cell>
          <cell r="D5">
            <v>0.39583333333333298</v>
          </cell>
          <cell r="E5">
            <v>1</v>
          </cell>
          <cell r="F5">
            <v>-7</v>
          </cell>
          <cell r="G5">
            <v>0.39583333333333298</v>
          </cell>
        </row>
        <row r="6">
          <cell r="B6">
            <v>0.41666666666666602</v>
          </cell>
          <cell r="C6">
            <v>-6.5</v>
          </cell>
          <cell r="D6">
            <v>0.41666666666666602</v>
          </cell>
          <cell r="E6">
            <v>1.5</v>
          </cell>
          <cell r="F6">
            <v>-6.5</v>
          </cell>
          <cell r="G6">
            <v>0.41666666666666602</v>
          </cell>
        </row>
        <row r="7">
          <cell r="B7">
            <v>0.4375</v>
          </cell>
          <cell r="C7">
            <v>-6</v>
          </cell>
          <cell r="D7">
            <v>0.4375</v>
          </cell>
          <cell r="E7">
            <v>2</v>
          </cell>
          <cell r="F7">
            <v>-6</v>
          </cell>
          <cell r="G7">
            <v>0.4375</v>
          </cell>
        </row>
        <row r="8">
          <cell r="B8">
            <v>0.45833333333333298</v>
          </cell>
          <cell r="C8">
            <v>-5.5</v>
          </cell>
          <cell r="D8">
            <v>0.45833333333333298</v>
          </cell>
          <cell r="E8">
            <v>2.5</v>
          </cell>
          <cell r="F8">
            <v>-5.5</v>
          </cell>
          <cell r="G8">
            <v>0.45833333333333298</v>
          </cell>
        </row>
        <row r="9">
          <cell r="B9">
            <v>0.47916666666666702</v>
          </cell>
          <cell r="C9">
            <v>-5</v>
          </cell>
          <cell r="D9">
            <v>0.47916666666666702</v>
          </cell>
          <cell r="E9">
            <v>3</v>
          </cell>
          <cell r="F9">
            <v>-5</v>
          </cell>
          <cell r="G9">
            <v>0.47916666666666702</v>
          </cell>
        </row>
        <row r="10">
          <cell r="B10">
            <v>0.5</v>
          </cell>
          <cell r="C10">
            <v>-4.5</v>
          </cell>
          <cell r="D10">
            <v>0.5</v>
          </cell>
          <cell r="E10">
            <v>3.5</v>
          </cell>
          <cell r="F10">
            <v>-4.5</v>
          </cell>
          <cell r="G10">
            <v>0.5</v>
          </cell>
        </row>
        <row r="11">
          <cell r="B11">
            <v>0.52083333333333326</v>
          </cell>
          <cell r="C11">
            <v>-4</v>
          </cell>
          <cell r="D11">
            <v>0.52083333333333326</v>
          </cell>
          <cell r="E11">
            <v>4</v>
          </cell>
          <cell r="F11">
            <v>-4</v>
          </cell>
          <cell r="G11">
            <v>0.52083333333333326</v>
          </cell>
        </row>
        <row r="12">
          <cell r="B12">
            <v>0.54166666666666696</v>
          </cell>
          <cell r="C12">
            <v>-4</v>
          </cell>
          <cell r="D12">
            <v>0.54166666666666696</v>
          </cell>
          <cell r="E12">
            <v>4</v>
          </cell>
          <cell r="F12">
            <v>-4</v>
          </cell>
          <cell r="G12">
            <v>0.54166666666666696</v>
          </cell>
        </row>
        <row r="13">
          <cell r="B13">
            <v>0.5625</v>
          </cell>
          <cell r="C13">
            <v>-4</v>
          </cell>
          <cell r="D13">
            <v>0.5625</v>
          </cell>
          <cell r="E13">
            <v>4</v>
          </cell>
          <cell r="F13">
            <v>-4</v>
          </cell>
          <cell r="G13">
            <v>0.5625</v>
          </cell>
        </row>
        <row r="14">
          <cell r="B14">
            <v>0.58333333333333304</v>
          </cell>
          <cell r="C14">
            <v>-3.5</v>
          </cell>
          <cell r="D14">
            <v>0.58333333333333304</v>
          </cell>
          <cell r="E14">
            <v>4.5</v>
          </cell>
          <cell r="F14">
            <v>-3.5</v>
          </cell>
          <cell r="G14">
            <v>0.58333333333333304</v>
          </cell>
        </row>
        <row r="15">
          <cell r="B15">
            <v>0.60416666666666696</v>
          </cell>
          <cell r="C15">
            <v>-3</v>
          </cell>
          <cell r="D15">
            <v>0.60416666666666696</v>
          </cell>
          <cell r="E15">
            <v>5</v>
          </cell>
          <cell r="F15">
            <v>-3</v>
          </cell>
          <cell r="G15">
            <v>0.60416666666666696</v>
          </cell>
        </row>
        <row r="16">
          <cell r="B16">
            <v>0.625</v>
          </cell>
          <cell r="C16">
            <v>-2.5</v>
          </cell>
          <cell r="D16">
            <v>0.625</v>
          </cell>
          <cell r="E16">
            <v>5.5</v>
          </cell>
          <cell r="F16">
            <v>-2.5</v>
          </cell>
          <cell r="G16">
            <v>0.625</v>
          </cell>
        </row>
        <row r="17">
          <cell r="B17">
            <v>0.64583333333333304</v>
          </cell>
          <cell r="C17">
            <v>-2</v>
          </cell>
          <cell r="D17">
            <v>0.64583333333333304</v>
          </cell>
          <cell r="E17">
            <v>6</v>
          </cell>
          <cell r="F17">
            <v>-2</v>
          </cell>
          <cell r="G17">
            <v>0.64583333333333304</v>
          </cell>
        </row>
        <row r="18">
          <cell r="B18">
            <v>0.66666666666666663</v>
          </cell>
          <cell r="C18">
            <v>-1.5</v>
          </cell>
          <cell r="D18">
            <v>0.66666666666666663</v>
          </cell>
          <cell r="E18">
            <v>6.5</v>
          </cell>
          <cell r="F18">
            <v>-1.5</v>
          </cell>
          <cell r="G18">
            <v>0.66666666666666663</v>
          </cell>
        </row>
        <row r="19">
          <cell r="B19">
            <v>0.6875</v>
          </cell>
          <cell r="C19">
            <v>-1</v>
          </cell>
          <cell r="D19">
            <v>0.6875</v>
          </cell>
          <cell r="E19">
            <v>7</v>
          </cell>
          <cell r="F19">
            <v>-1</v>
          </cell>
          <cell r="G19">
            <v>0.6875</v>
          </cell>
        </row>
        <row r="20">
          <cell r="B20">
            <v>0.70833333333333304</v>
          </cell>
          <cell r="C20">
            <v>-0.5</v>
          </cell>
          <cell r="D20">
            <v>0.70833333333333304</v>
          </cell>
          <cell r="E20">
            <v>7.5</v>
          </cell>
          <cell r="F20">
            <v>-0.5</v>
          </cell>
          <cell r="G20">
            <v>0.70833333333333304</v>
          </cell>
        </row>
        <row r="21">
          <cell r="B21">
            <v>0.72916666666666663</v>
          </cell>
          <cell r="C21">
            <v>0</v>
          </cell>
          <cell r="D21">
            <v>0.72916666666666663</v>
          </cell>
          <cell r="E21">
            <v>8</v>
          </cell>
          <cell r="F21">
            <v>0</v>
          </cell>
          <cell r="G21">
            <v>0.72916666666666663</v>
          </cell>
        </row>
        <row r="22">
          <cell r="B22">
            <v>0.75</v>
          </cell>
          <cell r="C22">
            <v>0.5</v>
          </cell>
          <cell r="D22">
            <v>0.75</v>
          </cell>
          <cell r="E22">
            <v>8.5</v>
          </cell>
          <cell r="F22">
            <v>0.5</v>
          </cell>
          <cell r="G22">
            <v>0.75</v>
          </cell>
        </row>
        <row r="23">
          <cell r="B23">
            <v>0.77083333333333326</v>
          </cell>
          <cell r="C23">
            <v>1</v>
          </cell>
          <cell r="D23">
            <v>0.77083333333333326</v>
          </cell>
          <cell r="E23">
            <v>9</v>
          </cell>
          <cell r="F23">
            <v>1</v>
          </cell>
          <cell r="G23">
            <v>0.77083333333333326</v>
          </cell>
        </row>
        <row r="24">
          <cell r="B24">
            <v>0.79166666666666663</v>
          </cell>
          <cell r="C24">
            <v>1.5</v>
          </cell>
          <cell r="D24">
            <v>0.79166666666666663</v>
          </cell>
          <cell r="E24">
            <v>9.5</v>
          </cell>
          <cell r="F24">
            <v>1.5</v>
          </cell>
          <cell r="G24">
            <v>0.79166666666666663</v>
          </cell>
        </row>
        <row r="25">
          <cell r="B25">
            <v>0.8125</v>
          </cell>
          <cell r="C25">
            <v>2</v>
          </cell>
          <cell r="D25">
            <v>0.8125</v>
          </cell>
          <cell r="E25">
            <v>10</v>
          </cell>
          <cell r="F25">
            <v>2</v>
          </cell>
          <cell r="G25">
            <v>0.8125</v>
          </cell>
        </row>
        <row r="26">
          <cell r="B26">
            <v>0.83333333333333337</v>
          </cell>
          <cell r="C26">
            <v>1.5</v>
          </cell>
          <cell r="D26">
            <v>0.83333333333333337</v>
          </cell>
          <cell r="E26">
            <v>9.5</v>
          </cell>
          <cell r="F26">
            <v>1.5</v>
          </cell>
          <cell r="G26">
            <v>0.83333333333333337</v>
          </cell>
        </row>
        <row r="27">
          <cell r="B27">
            <v>0.85416666666666663</v>
          </cell>
          <cell r="C27">
            <v>2</v>
          </cell>
          <cell r="D27">
            <v>0.85416666666666663</v>
          </cell>
          <cell r="E27">
            <v>10</v>
          </cell>
          <cell r="F27">
            <v>2</v>
          </cell>
          <cell r="G27">
            <v>0.85416666666666663</v>
          </cell>
        </row>
        <row r="28">
          <cell r="B28">
            <v>0.875</v>
          </cell>
          <cell r="C28">
            <v>2.5</v>
          </cell>
          <cell r="D28">
            <v>0.875</v>
          </cell>
          <cell r="E28">
            <v>10.5</v>
          </cell>
          <cell r="F28">
            <v>2.5</v>
          </cell>
          <cell r="G28">
            <v>0.875</v>
          </cell>
        </row>
        <row r="29">
          <cell r="B29">
            <v>0.89583333333333337</v>
          </cell>
          <cell r="C29">
            <v>3</v>
          </cell>
          <cell r="D29">
            <v>0.89583333333333337</v>
          </cell>
          <cell r="E29">
            <v>11</v>
          </cell>
          <cell r="F29">
            <v>3</v>
          </cell>
          <cell r="G29">
            <v>0.89583333333333337</v>
          </cell>
        </row>
        <row r="30">
          <cell r="B30">
            <v>0.91666666666666663</v>
          </cell>
          <cell r="C30">
            <v>3.5</v>
          </cell>
          <cell r="D30">
            <v>0.91666666666666663</v>
          </cell>
          <cell r="E30">
            <v>11.5</v>
          </cell>
          <cell r="F30">
            <v>3.5</v>
          </cell>
          <cell r="G30">
            <v>0.91666666666666663</v>
          </cell>
        </row>
        <row r="31">
          <cell r="B31">
            <v>0.9375</v>
          </cell>
          <cell r="C31">
            <v>4</v>
          </cell>
          <cell r="D31">
            <v>0.9375</v>
          </cell>
          <cell r="E31">
            <v>12</v>
          </cell>
          <cell r="F31">
            <v>4</v>
          </cell>
          <cell r="G31">
            <v>0.9375</v>
          </cell>
        </row>
        <row r="32">
          <cell r="B32">
            <v>0.95833333333333337</v>
          </cell>
          <cell r="C32">
            <v>4.5</v>
          </cell>
          <cell r="D32">
            <v>0.95833333333333337</v>
          </cell>
          <cell r="E32">
            <v>12.5</v>
          </cell>
          <cell r="F32">
            <v>4.5</v>
          </cell>
          <cell r="G32">
            <v>0.95833333333333337</v>
          </cell>
        </row>
        <row r="33">
          <cell r="B33">
            <v>0.97916666666666663</v>
          </cell>
          <cell r="C33">
            <v>5</v>
          </cell>
          <cell r="D33">
            <v>0.97916666666666663</v>
          </cell>
          <cell r="E33">
            <v>13</v>
          </cell>
          <cell r="F33">
            <v>5</v>
          </cell>
          <cell r="G33">
            <v>0.97916666666666663</v>
          </cell>
        </row>
        <row r="34">
          <cell r="B34">
            <v>1</v>
          </cell>
          <cell r="C34">
            <v>5.5</v>
          </cell>
          <cell r="D34">
            <v>1</v>
          </cell>
          <cell r="E34">
            <v>13.5</v>
          </cell>
          <cell r="F34">
            <v>5.5</v>
          </cell>
          <cell r="G34">
            <v>1</v>
          </cell>
        </row>
        <row r="35">
          <cell r="B35">
            <v>2.0833333333333332E-2</v>
          </cell>
          <cell r="C35">
            <v>6</v>
          </cell>
          <cell r="D35">
            <v>2.0833333333333332E-2</v>
          </cell>
          <cell r="E35">
            <v>14</v>
          </cell>
          <cell r="F35">
            <v>6</v>
          </cell>
          <cell r="G35">
            <v>2.0833333333333332E-2</v>
          </cell>
        </row>
        <row r="36">
          <cell r="B36">
            <v>4.1666666666666664E-2</v>
          </cell>
          <cell r="C36">
            <v>6.5</v>
          </cell>
          <cell r="D36">
            <v>4.1666666666666664E-2</v>
          </cell>
          <cell r="E36">
            <v>14.5</v>
          </cell>
          <cell r="F36">
            <v>6.5</v>
          </cell>
          <cell r="G36">
            <v>4.1666666666666664E-2</v>
          </cell>
        </row>
        <row r="37">
          <cell r="B37">
            <v>6.25E-2</v>
          </cell>
          <cell r="C37">
            <v>7</v>
          </cell>
          <cell r="D37">
            <v>6.25E-2</v>
          </cell>
          <cell r="E37">
            <v>15</v>
          </cell>
          <cell r="F37">
            <v>7</v>
          </cell>
          <cell r="G37">
            <v>6.25E-2</v>
          </cell>
        </row>
        <row r="38">
          <cell r="B38">
            <v>8.3333333333333329E-2</v>
          </cell>
          <cell r="C38">
            <v>7.5</v>
          </cell>
          <cell r="D38">
            <v>8.3333333333333329E-2</v>
          </cell>
          <cell r="E38">
            <v>15.5</v>
          </cell>
          <cell r="F38">
            <v>7.5</v>
          </cell>
          <cell r="G38">
            <v>8.3333333333333329E-2</v>
          </cell>
        </row>
        <row r="39">
          <cell r="B39">
            <v>0.10416666666666667</v>
          </cell>
          <cell r="C39">
            <v>8</v>
          </cell>
          <cell r="D39">
            <v>0.10416666666666667</v>
          </cell>
          <cell r="E39">
            <v>16</v>
          </cell>
          <cell r="F39">
            <v>8</v>
          </cell>
          <cell r="G39">
            <v>0.10416666666666667</v>
          </cell>
        </row>
        <row r="40">
          <cell r="B40">
            <v>0.125</v>
          </cell>
          <cell r="C40">
            <v>8.5</v>
          </cell>
          <cell r="D40">
            <v>0.125</v>
          </cell>
          <cell r="E40">
            <v>16.5</v>
          </cell>
          <cell r="F40">
            <v>8.5</v>
          </cell>
          <cell r="G40">
            <v>0.125</v>
          </cell>
        </row>
        <row r="41">
          <cell r="B41">
            <v>0.14583333333333334</v>
          </cell>
          <cell r="C41">
            <v>9</v>
          </cell>
          <cell r="D41">
            <v>0.14583333333333334</v>
          </cell>
          <cell r="E41">
            <v>17</v>
          </cell>
          <cell r="F41">
            <v>9</v>
          </cell>
          <cell r="G41">
            <v>0.14583333333333334</v>
          </cell>
        </row>
        <row r="42">
          <cell r="B42">
            <v>0.16666666666666666</v>
          </cell>
          <cell r="C42">
            <v>9.5</v>
          </cell>
          <cell r="D42">
            <v>0.16666666666666666</v>
          </cell>
          <cell r="E42">
            <v>17.5</v>
          </cell>
          <cell r="F42">
            <v>9.5</v>
          </cell>
          <cell r="G42">
            <v>0.16666666666666666</v>
          </cell>
        </row>
        <row r="43">
          <cell r="B43">
            <v>0.1875</v>
          </cell>
          <cell r="C43">
            <v>10</v>
          </cell>
          <cell r="D43">
            <v>0.1875</v>
          </cell>
          <cell r="E43">
            <v>18</v>
          </cell>
          <cell r="F43">
            <v>10</v>
          </cell>
          <cell r="G43">
            <v>0.1875</v>
          </cell>
        </row>
        <row r="44">
          <cell r="B44">
            <v>0.20833333333333334</v>
          </cell>
          <cell r="C44">
            <v>10.5</v>
          </cell>
          <cell r="D44">
            <v>0.20833333333333334</v>
          </cell>
          <cell r="E44">
            <v>18.5</v>
          </cell>
          <cell r="F44">
            <v>10.5</v>
          </cell>
          <cell r="G44">
            <v>0.20833333333333334</v>
          </cell>
        </row>
        <row r="45">
          <cell r="B45">
            <v>0.22916666666666666</v>
          </cell>
          <cell r="C45">
            <v>11</v>
          </cell>
          <cell r="D45">
            <v>0.22916666666666666</v>
          </cell>
          <cell r="E45">
            <v>19</v>
          </cell>
          <cell r="F45">
            <v>11</v>
          </cell>
          <cell r="G45">
            <v>0.22916666666666666</v>
          </cell>
        </row>
        <row r="46">
          <cell r="B46">
            <v>0.25</v>
          </cell>
          <cell r="C46">
            <v>11.5</v>
          </cell>
          <cell r="D46">
            <v>0.25</v>
          </cell>
          <cell r="E46">
            <v>19.5</v>
          </cell>
          <cell r="F46">
            <v>11.5</v>
          </cell>
          <cell r="G46">
            <v>0.25</v>
          </cell>
        </row>
        <row r="47">
          <cell r="B47">
            <v>0.27083333333333331</v>
          </cell>
          <cell r="C47">
            <v>12</v>
          </cell>
          <cell r="D47">
            <v>0.27083333333333331</v>
          </cell>
          <cell r="E47">
            <v>20</v>
          </cell>
          <cell r="F47">
            <v>12</v>
          </cell>
          <cell r="G47">
            <v>0.27083333333333331</v>
          </cell>
        </row>
        <row r="48">
          <cell r="B48">
            <v>0.29166666666666669</v>
          </cell>
          <cell r="C48">
            <v>12.5</v>
          </cell>
          <cell r="D48">
            <v>0.29166666666666669</v>
          </cell>
          <cell r="E48">
            <v>20.5</v>
          </cell>
          <cell r="F48">
            <v>12.5</v>
          </cell>
          <cell r="G48">
            <v>0.29166666666666669</v>
          </cell>
        </row>
        <row r="49">
          <cell r="B49">
            <v>0.3125</v>
          </cell>
          <cell r="C49">
            <v>13</v>
          </cell>
          <cell r="D49">
            <v>0.3125</v>
          </cell>
          <cell r="E49">
            <v>21</v>
          </cell>
          <cell r="F49">
            <v>13</v>
          </cell>
          <cell r="G49">
            <v>0.3125</v>
          </cell>
        </row>
        <row r="50">
          <cell r="B50">
            <v>0.33333333333333331</v>
          </cell>
          <cell r="C50">
            <v>13.5</v>
          </cell>
          <cell r="D50">
            <v>0.33333333333333331</v>
          </cell>
          <cell r="E50">
            <v>21.5</v>
          </cell>
          <cell r="F50">
            <v>13.5</v>
          </cell>
          <cell r="G50">
            <v>0.33333333333333331</v>
          </cell>
        </row>
        <row r="51">
          <cell r="B51"/>
          <cell r="C51"/>
        </row>
        <row r="52">
          <cell r="B52"/>
          <cell r="C52"/>
        </row>
        <row r="53">
          <cell r="B53"/>
          <cell r="C53"/>
        </row>
        <row r="54">
          <cell r="B54"/>
          <cell r="C54"/>
        </row>
        <row r="55">
          <cell r="B55"/>
          <cell r="C55"/>
        </row>
        <row r="56">
          <cell r="B56"/>
          <cell r="C56"/>
        </row>
        <row r="57">
          <cell r="B57"/>
          <cell r="C57"/>
        </row>
        <row r="58">
          <cell r="B58"/>
          <cell r="C58"/>
        </row>
        <row r="59">
          <cell r="B59"/>
          <cell r="C59"/>
        </row>
        <row r="60">
          <cell r="B60"/>
          <cell r="C60"/>
        </row>
        <row r="61">
          <cell r="B61"/>
          <cell r="C61"/>
        </row>
        <row r="62">
          <cell r="B62"/>
          <cell r="C62"/>
        </row>
        <row r="63">
          <cell r="B63"/>
          <cell r="C63"/>
        </row>
        <row r="64">
          <cell r="B64"/>
          <cell r="C64"/>
        </row>
        <row r="65">
          <cell r="B65"/>
          <cell r="C65"/>
        </row>
        <row r="66">
          <cell r="B66"/>
          <cell r="C66"/>
        </row>
        <row r="100">
          <cell r="C100" t="str">
            <v>구분</v>
          </cell>
        </row>
        <row r="101">
          <cell r="C101" t="str">
            <v>평일</v>
          </cell>
        </row>
        <row r="102">
          <cell r="C102" t="str">
            <v>주말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3855-F2C4-4C8A-A348-AEA76EEAD8F9}">
  <dimension ref="A1:G102"/>
  <sheetViews>
    <sheetView showGridLines="0" workbookViewId="0">
      <pane ySplit="2" topLeftCell="A30" activePane="bottomLeft" state="frozen"/>
      <selection activeCell="V30" sqref="V30"/>
      <selection pane="bottomLeft" activeCell="Q24" sqref="Q24"/>
    </sheetView>
  </sheetViews>
  <sheetFormatPr defaultColWidth="9" defaultRowHeight="16.5" x14ac:dyDescent="0.3"/>
  <cols>
    <col min="1" max="1" width="9" style="67"/>
    <col min="2" max="2" width="9.125" style="73" bestFit="1" customWidth="1"/>
    <col min="3" max="3" width="9.125" style="74" bestFit="1" customWidth="1"/>
    <col min="4" max="16384" width="9" style="67"/>
  </cols>
  <sheetData>
    <row r="1" spans="2:7" x14ac:dyDescent="0.3">
      <c r="B1" s="65"/>
      <c r="C1" s="66"/>
    </row>
    <row r="2" spans="2:7" x14ac:dyDescent="0.3">
      <c r="B2" s="68" t="s">
        <v>70</v>
      </c>
      <c r="C2" s="69" t="s">
        <v>71</v>
      </c>
      <c r="D2" s="68" t="s">
        <v>72</v>
      </c>
      <c r="E2" s="69" t="s">
        <v>71</v>
      </c>
      <c r="F2" s="69" t="s">
        <v>71</v>
      </c>
      <c r="G2" s="68" t="s">
        <v>70</v>
      </c>
    </row>
    <row r="3" spans="2:7" x14ac:dyDescent="0.3">
      <c r="B3" s="65">
        <v>0.35416666666666602</v>
      </c>
      <c r="C3" s="66">
        <v>-8</v>
      </c>
      <c r="D3" s="65">
        <v>0.35416666666666602</v>
      </c>
      <c r="E3" s="66">
        <f>C3+8</f>
        <v>0</v>
      </c>
      <c r="F3" s="66">
        <v>-8</v>
      </c>
      <c r="G3" s="65">
        <v>0.35416666666666602</v>
      </c>
    </row>
    <row r="4" spans="2:7" x14ac:dyDescent="0.3">
      <c r="B4" s="65">
        <v>0.375</v>
      </c>
      <c r="C4" s="66">
        <v>-7.5</v>
      </c>
      <c r="D4" s="65">
        <v>0.375</v>
      </c>
      <c r="E4" s="66">
        <f t="shared" ref="E4:E50" si="0">C4+8</f>
        <v>0.5</v>
      </c>
      <c r="F4" s="66">
        <v>-7.5</v>
      </c>
      <c r="G4" s="65">
        <v>0.375</v>
      </c>
    </row>
    <row r="5" spans="2:7" x14ac:dyDescent="0.3">
      <c r="B5" s="65">
        <v>0.39583333333333298</v>
      </c>
      <c r="C5" s="66">
        <v>-7</v>
      </c>
      <c r="D5" s="65">
        <v>0.39583333333333298</v>
      </c>
      <c r="E5" s="66">
        <f t="shared" si="0"/>
        <v>1</v>
      </c>
      <c r="F5" s="66">
        <v>-7</v>
      </c>
      <c r="G5" s="65">
        <v>0.39583333333333298</v>
      </c>
    </row>
    <row r="6" spans="2:7" x14ac:dyDescent="0.3">
      <c r="B6" s="65">
        <v>0.41666666666666602</v>
      </c>
      <c r="C6" s="66">
        <v>-6.5</v>
      </c>
      <c r="D6" s="65">
        <v>0.41666666666666602</v>
      </c>
      <c r="E6" s="66">
        <f t="shared" si="0"/>
        <v>1.5</v>
      </c>
      <c r="F6" s="66">
        <v>-6.5</v>
      </c>
      <c r="G6" s="65">
        <v>0.41666666666666602</v>
      </c>
    </row>
    <row r="7" spans="2:7" x14ac:dyDescent="0.3">
      <c r="B7" s="65">
        <v>0.4375</v>
      </c>
      <c r="C7" s="66">
        <v>-6</v>
      </c>
      <c r="D7" s="65">
        <v>0.4375</v>
      </c>
      <c r="E7" s="66">
        <f t="shared" si="0"/>
        <v>2</v>
      </c>
      <c r="F7" s="66">
        <v>-6</v>
      </c>
      <c r="G7" s="65">
        <v>0.4375</v>
      </c>
    </row>
    <row r="8" spans="2:7" x14ac:dyDescent="0.3">
      <c r="B8" s="65">
        <v>0.45833333333333298</v>
      </c>
      <c r="C8" s="66">
        <v>-5.5</v>
      </c>
      <c r="D8" s="65">
        <v>0.45833333333333298</v>
      </c>
      <c r="E8" s="66">
        <f t="shared" si="0"/>
        <v>2.5</v>
      </c>
      <c r="F8" s="66">
        <v>-5.5</v>
      </c>
      <c r="G8" s="65">
        <v>0.45833333333333298</v>
      </c>
    </row>
    <row r="9" spans="2:7" x14ac:dyDescent="0.3">
      <c r="B9" s="65">
        <v>0.47916666666666702</v>
      </c>
      <c r="C9" s="66">
        <v>-5</v>
      </c>
      <c r="D9" s="65">
        <v>0.47916666666666702</v>
      </c>
      <c r="E9" s="66">
        <f t="shared" si="0"/>
        <v>3</v>
      </c>
      <c r="F9" s="66">
        <v>-5</v>
      </c>
      <c r="G9" s="65">
        <v>0.47916666666666702</v>
      </c>
    </row>
    <row r="10" spans="2:7" x14ac:dyDescent="0.3">
      <c r="B10" s="65">
        <v>0.5</v>
      </c>
      <c r="C10" s="66">
        <v>-4.5</v>
      </c>
      <c r="D10" s="65">
        <v>0.5</v>
      </c>
      <c r="E10" s="66">
        <f t="shared" si="0"/>
        <v>3.5</v>
      </c>
      <c r="F10" s="66">
        <v>-4.5</v>
      </c>
      <c r="G10" s="65">
        <v>0.5</v>
      </c>
    </row>
    <row r="11" spans="2:7" x14ac:dyDescent="0.3">
      <c r="B11" s="65">
        <v>0.52083333333333326</v>
      </c>
      <c r="C11" s="66">
        <v>-4</v>
      </c>
      <c r="D11" s="65">
        <v>0.52083333333333326</v>
      </c>
      <c r="E11" s="66">
        <f t="shared" si="0"/>
        <v>4</v>
      </c>
      <c r="F11" s="66">
        <v>-4</v>
      </c>
      <c r="G11" s="65">
        <v>0.52083333333333326</v>
      </c>
    </row>
    <row r="12" spans="2:7" x14ac:dyDescent="0.3">
      <c r="B12" s="65">
        <v>0.54166666666666696</v>
      </c>
      <c r="C12" s="66">
        <v>-4</v>
      </c>
      <c r="D12" s="65">
        <v>0.54166666666666696</v>
      </c>
      <c r="E12" s="66">
        <f t="shared" si="0"/>
        <v>4</v>
      </c>
      <c r="F12" s="66">
        <v>-4</v>
      </c>
      <c r="G12" s="65">
        <v>0.54166666666666696</v>
      </c>
    </row>
    <row r="13" spans="2:7" x14ac:dyDescent="0.3">
      <c r="B13" s="65">
        <v>0.5625</v>
      </c>
      <c r="C13" s="66">
        <v>-4</v>
      </c>
      <c r="D13" s="65">
        <v>0.5625</v>
      </c>
      <c r="E13" s="66">
        <f t="shared" si="0"/>
        <v>4</v>
      </c>
      <c r="F13" s="66">
        <v>-4</v>
      </c>
      <c r="G13" s="65">
        <v>0.5625</v>
      </c>
    </row>
    <row r="14" spans="2:7" x14ac:dyDescent="0.3">
      <c r="B14" s="65">
        <v>0.58333333333333304</v>
      </c>
      <c r="C14" s="66">
        <v>-3.5</v>
      </c>
      <c r="D14" s="65">
        <v>0.58333333333333304</v>
      </c>
      <c r="E14" s="66">
        <f t="shared" si="0"/>
        <v>4.5</v>
      </c>
      <c r="F14" s="66">
        <v>-3.5</v>
      </c>
      <c r="G14" s="65">
        <v>0.58333333333333304</v>
      </c>
    </row>
    <row r="15" spans="2:7" x14ac:dyDescent="0.3">
      <c r="B15" s="65">
        <v>0.60416666666666696</v>
      </c>
      <c r="C15" s="66">
        <v>-3</v>
      </c>
      <c r="D15" s="65">
        <v>0.60416666666666696</v>
      </c>
      <c r="E15" s="66">
        <f t="shared" si="0"/>
        <v>5</v>
      </c>
      <c r="F15" s="66">
        <v>-3</v>
      </c>
      <c r="G15" s="65">
        <v>0.60416666666666696</v>
      </c>
    </row>
    <row r="16" spans="2:7" x14ac:dyDescent="0.3">
      <c r="B16" s="65">
        <v>0.625</v>
      </c>
      <c r="C16" s="66">
        <v>-2.5</v>
      </c>
      <c r="D16" s="65">
        <v>0.625</v>
      </c>
      <c r="E16" s="66">
        <f t="shared" si="0"/>
        <v>5.5</v>
      </c>
      <c r="F16" s="66">
        <v>-2.5</v>
      </c>
      <c r="G16" s="65">
        <v>0.625</v>
      </c>
    </row>
    <row r="17" spans="2:7" x14ac:dyDescent="0.3">
      <c r="B17" s="65">
        <v>0.64583333333333304</v>
      </c>
      <c r="C17" s="66">
        <v>-2</v>
      </c>
      <c r="D17" s="65">
        <v>0.64583333333333304</v>
      </c>
      <c r="E17" s="66">
        <f t="shared" si="0"/>
        <v>6</v>
      </c>
      <c r="F17" s="66">
        <v>-2</v>
      </c>
      <c r="G17" s="65">
        <v>0.64583333333333304</v>
      </c>
    </row>
    <row r="18" spans="2:7" x14ac:dyDescent="0.3">
      <c r="B18" s="65">
        <v>0.66666666666666663</v>
      </c>
      <c r="C18" s="66">
        <v>-1.5</v>
      </c>
      <c r="D18" s="65">
        <v>0.66666666666666663</v>
      </c>
      <c r="E18" s="66">
        <f t="shared" si="0"/>
        <v>6.5</v>
      </c>
      <c r="F18" s="66">
        <v>-1.5</v>
      </c>
      <c r="G18" s="65">
        <v>0.66666666666666663</v>
      </c>
    </row>
    <row r="19" spans="2:7" x14ac:dyDescent="0.3">
      <c r="B19" s="65">
        <v>0.6875</v>
      </c>
      <c r="C19" s="66">
        <v>-1</v>
      </c>
      <c r="D19" s="65">
        <v>0.6875</v>
      </c>
      <c r="E19" s="66">
        <f t="shared" si="0"/>
        <v>7</v>
      </c>
      <c r="F19" s="66">
        <v>-1</v>
      </c>
      <c r="G19" s="65">
        <v>0.6875</v>
      </c>
    </row>
    <row r="20" spans="2:7" x14ac:dyDescent="0.3">
      <c r="B20" s="65">
        <v>0.70833333333333304</v>
      </c>
      <c r="C20" s="66">
        <v>-0.5</v>
      </c>
      <c r="D20" s="65">
        <v>0.70833333333333304</v>
      </c>
      <c r="E20" s="66">
        <f t="shared" si="0"/>
        <v>7.5</v>
      </c>
      <c r="F20" s="66">
        <v>-0.5</v>
      </c>
      <c r="G20" s="65">
        <v>0.70833333333333304</v>
      </c>
    </row>
    <row r="21" spans="2:7" x14ac:dyDescent="0.3">
      <c r="B21" s="70">
        <v>0.72916666666666663</v>
      </c>
      <c r="C21" s="71">
        <v>0</v>
      </c>
      <c r="D21" s="70">
        <v>0.72916666666666663</v>
      </c>
      <c r="E21" s="66">
        <f>C21+8</f>
        <v>8</v>
      </c>
      <c r="F21" s="71">
        <v>0</v>
      </c>
      <c r="G21" s="70">
        <v>0.72916666666666663</v>
      </c>
    </row>
    <row r="22" spans="2:7" x14ac:dyDescent="0.3">
      <c r="B22" s="70">
        <v>0.75</v>
      </c>
      <c r="C22" s="71">
        <v>0.5</v>
      </c>
      <c r="D22" s="70">
        <v>0.75</v>
      </c>
      <c r="E22" s="66">
        <f t="shared" si="0"/>
        <v>8.5</v>
      </c>
      <c r="F22" s="71">
        <v>0.5</v>
      </c>
      <c r="G22" s="70">
        <v>0.75</v>
      </c>
    </row>
    <row r="23" spans="2:7" x14ac:dyDescent="0.3">
      <c r="B23" s="70">
        <v>0.77083333333333326</v>
      </c>
      <c r="C23" s="71">
        <v>1</v>
      </c>
      <c r="D23" s="70">
        <v>0.77083333333333326</v>
      </c>
      <c r="E23" s="66">
        <f t="shared" si="0"/>
        <v>9</v>
      </c>
      <c r="F23" s="71">
        <v>1</v>
      </c>
      <c r="G23" s="70">
        <v>0.77083333333333326</v>
      </c>
    </row>
    <row r="24" spans="2:7" x14ac:dyDescent="0.3">
      <c r="B24" s="70">
        <v>0.79166666666666663</v>
      </c>
      <c r="C24" s="71">
        <v>1.5</v>
      </c>
      <c r="D24" s="70">
        <v>0.79166666666666663</v>
      </c>
      <c r="E24" s="66">
        <f t="shared" si="0"/>
        <v>9.5</v>
      </c>
      <c r="F24" s="71">
        <v>1.5</v>
      </c>
      <c r="G24" s="70">
        <v>0.79166666666666663</v>
      </c>
    </row>
    <row r="25" spans="2:7" x14ac:dyDescent="0.3">
      <c r="B25" s="70">
        <v>0.8125</v>
      </c>
      <c r="C25" s="71">
        <v>2</v>
      </c>
      <c r="D25" s="70">
        <v>0.8125</v>
      </c>
      <c r="E25" s="66">
        <f t="shared" si="0"/>
        <v>10</v>
      </c>
      <c r="F25" s="71">
        <v>2</v>
      </c>
      <c r="G25" s="70">
        <v>0.8125</v>
      </c>
    </row>
    <row r="26" spans="2:7" x14ac:dyDescent="0.3">
      <c r="B26" s="70">
        <v>0.83333333333333337</v>
      </c>
      <c r="C26" s="71">
        <v>1.5</v>
      </c>
      <c r="D26" s="70">
        <v>0.83333333333333337</v>
      </c>
      <c r="E26" s="66">
        <f t="shared" si="0"/>
        <v>9.5</v>
      </c>
      <c r="F26" s="71">
        <v>1.5</v>
      </c>
      <c r="G26" s="70">
        <v>0.83333333333333337</v>
      </c>
    </row>
    <row r="27" spans="2:7" x14ac:dyDescent="0.3">
      <c r="B27" s="70">
        <v>0.85416666666666663</v>
      </c>
      <c r="C27" s="71">
        <v>2</v>
      </c>
      <c r="D27" s="70">
        <v>0.85416666666666663</v>
      </c>
      <c r="E27" s="66">
        <f t="shared" si="0"/>
        <v>10</v>
      </c>
      <c r="F27" s="71">
        <v>2</v>
      </c>
      <c r="G27" s="70">
        <v>0.85416666666666663</v>
      </c>
    </row>
    <row r="28" spans="2:7" x14ac:dyDescent="0.3">
      <c r="B28" s="70">
        <v>0.875</v>
      </c>
      <c r="C28" s="71">
        <v>2.5</v>
      </c>
      <c r="D28" s="70">
        <v>0.875</v>
      </c>
      <c r="E28" s="66">
        <f t="shared" si="0"/>
        <v>10.5</v>
      </c>
      <c r="F28" s="71">
        <v>2.5</v>
      </c>
      <c r="G28" s="70">
        <v>0.875</v>
      </c>
    </row>
    <row r="29" spans="2:7" x14ac:dyDescent="0.3">
      <c r="B29" s="70">
        <v>0.89583333333333337</v>
      </c>
      <c r="C29" s="71">
        <v>3</v>
      </c>
      <c r="D29" s="70">
        <v>0.89583333333333337</v>
      </c>
      <c r="E29" s="66">
        <f t="shared" si="0"/>
        <v>11</v>
      </c>
      <c r="F29" s="71">
        <v>3</v>
      </c>
      <c r="G29" s="70">
        <v>0.89583333333333337</v>
      </c>
    </row>
    <row r="30" spans="2:7" x14ac:dyDescent="0.3">
      <c r="B30" s="70">
        <v>0.91666666666666663</v>
      </c>
      <c r="C30" s="71">
        <v>3.5</v>
      </c>
      <c r="D30" s="70">
        <v>0.91666666666666663</v>
      </c>
      <c r="E30" s="66">
        <f t="shared" si="0"/>
        <v>11.5</v>
      </c>
      <c r="F30" s="71">
        <v>3.5</v>
      </c>
      <c r="G30" s="70">
        <v>0.91666666666666663</v>
      </c>
    </row>
    <row r="31" spans="2:7" x14ac:dyDescent="0.3">
      <c r="B31" s="70">
        <v>0.9375</v>
      </c>
      <c r="C31" s="71">
        <v>4</v>
      </c>
      <c r="D31" s="70">
        <v>0.9375</v>
      </c>
      <c r="E31" s="66">
        <f t="shared" si="0"/>
        <v>12</v>
      </c>
      <c r="F31" s="71">
        <v>4</v>
      </c>
      <c r="G31" s="70">
        <v>0.9375</v>
      </c>
    </row>
    <row r="32" spans="2:7" x14ac:dyDescent="0.3">
      <c r="B32" s="70">
        <v>0.95833333333333337</v>
      </c>
      <c r="C32" s="71">
        <v>4.5</v>
      </c>
      <c r="D32" s="70">
        <v>0.95833333333333337</v>
      </c>
      <c r="E32" s="66">
        <f t="shared" si="0"/>
        <v>12.5</v>
      </c>
      <c r="F32" s="71">
        <v>4.5</v>
      </c>
      <c r="G32" s="70">
        <v>0.95833333333333337</v>
      </c>
    </row>
    <row r="33" spans="2:7" x14ac:dyDescent="0.3">
      <c r="B33" s="70">
        <v>0.97916666666666663</v>
      </c>
      <c r="C33" s="71">
        <v>5</v>
      </c>
      <c r="D33" s="70">
        <v>0.97916666666666663</v>
      </c>
      <c r="E33" s="66">
        <f t="shared" si="0"/>
        <v>13</v>
      </c>
      <c r="F33" s="71">
        <v>5</v>
      </c>
      <c r="G33" s="70">
        <v>0.97916666666666663</v>
      </c>
    </row>
    <row r="34" spans="2:7" x14ac:dyDescent="0.3">
      <c r="B34" s="70">
        <v>1</v>
      </c>
      <c r="C34" s="71">
        <v>5.5</v>
      </c>
      <c r="D34" s="70">
        <v>1</v>
      </c>
      <c r="E34" s="66">
        <f t="shared" si="0"/>
        <v>13.5</v>
      </c>
      <c r="F34" s="71">
        <v>5.5</v>
      </c>
      <c r="G34" s="70">
        <v>1</v>
      </c>
    </row>
    <row r="35" spans="2:7" x14ac:dyDescent="0.3">
      <c r="B35" s="70">
        <v>2.0833333333333332E-2</v>
      </c>
      <c r="C35" s="71">
        <v>6</v>
      </c>
      <c r="D35" s="70">
        <v>2.0833333333333332E-2</v>
      </c>
      <c r="E35" s="66">
        <f t="shared" si="0"/>
        <v>14</v>
      </c>
      <c r="F35" s="71">
        <v>6</v>
      </c>
      <c r="G35" s="70">
        <v>2.0833333333333332E-2</v>
      </c>
    </row>
    <row r="36" spans="2:7" x14ac:dyDescent="0.3">
      <c r="B36" s="70">
        <v>4.1666666666666664E-2</v>
      </c>
      <c r="C36" s="71">
        <v>6.5</v>
      </c>
      <c r="D36" s="70">
        <v>4.1666666666666664E-2</v>
      </c>
      <c r="E36" s="66">
        <f t="shared" si="0"/>
        <v>14.5</v>
      </c>
      <c r="F36" s="71">
        <v>6.5</v>
      </c>
      <c r="G36" s="70">
        <v>4.1666666666666664E-2</v>
      </c>
    </row>
    <row r="37" spans="2:7" x14ac:dyDescent="0.3">
      <c r="B37" s="70">
        <v>6.25E-2</v>
      </c>
      <c r="C37" s="71">
        <v>7</v>
      </c>
      <c r="D37" s="70">
        <v>6.25E-2</v>
      </c>
      <c r="E37" s="66">
        <f t="shared" si="0"/>
        <v>15</v>
      </c>
      <c r="F37" s="71">
        <v>7</v>
      </c>
      <c r="G37" s="70">
        <v>6.25E-2</v>
      </c>
    </row>
    <row r="38" spans="2:7" x14ac:dyDescent="0.3">
      <c r="B38" s="70">
        <v>8.3333333333333329E-2</v>
      </c>
      <c r="C38" s="71">
        <v>7.5</v>
      </c>
      <c r="D38" s="70">
        <v>8.3333333333333329E-2</v>
      </c>
      <c r="E38" s="66">
        <f t="shared" si="0"/>
        <v>15.5</v>
      </c>
      <c r="F38" s="71">
        <v>7.5</v>
      </c>
      <c r="G38" s="70">
        <v>8.3333333333333329E-2</v>
      </c>
    </row>
    <row r="39" spans="2:7" x14ac:dyDescent="0.3">
      <c r="B39" s="70">
        <v>0.10416666666666667</v>
      </c>
      <c r="C39" s="71">
        <v>8</v>
      </c>
      <c r="D39" s="70">
        <v>0.10416666666666667</v>
      </c>
      <c r="E39" s="66">
        <f t="shared" si="0"/>
        <v>16</v>
      </c>
      <c r="F39" s="71">
        <v>8</v>
      </c>
      <c r="G39" s="70">
        <v>0.10416666666666667</v>
      </c>
    </row>
    <row r="40" spans="2:7" x14ac:dyDescent="0.3">
      <c r="B40" s="70">
        <v>0.125</v>
      </c>
      <c r="C40" s="71">
        <v>8.5</v>
      </c>
      <c r="D40" s="70">
        <v>0.125</v>
      </c>
      <c r="E40" s="66">
        <f t="shared" si="0"/>
        <v>16.5</v>
      </c>
      <c r="F40" s="71">
        <v>8.5</v>
      </c>
      <c r="G40" s="70">
        <v>0.125</v>
      </c>
    </row>
    <row r="41" spans="2:7" x14ac:dyDescent="0.3">
      <c r="B41" s="70">
        <v>0.14583333333333334</v>
      </c>
      <c r="C41" s="71">
        <v>9</v>
      </c>
      <c r="D41" s="70">
        <v>0.14583333333333334</v>
      </c>
      <c r="E41" s="66">
        <f t="shared" si="0"/>
        <v>17</v>
      </c>
      <c r="F41" s="71">
        <v>9</v>
      </c>
      <c r="G41" s="70">
        <v>0.14583333333333334</v>
      </c>
    </row>
    <row r="42" spans="2:7" x14ac:dyDescent="0.3">
      <c r="B42" s="70">
        <v>0.16666666666666666</v>
      </c>
      <c r="C42" s="71">
        <v>9.5</v>
      </c>
      <c r="D42" s="70">
        <v>0.16666666666666666</v>
      </c>
      <c r="E42" s="66">
        <f t="shared" si="0"/>
        <v>17.5</v>
      </c>
      <c r="F42" s="71">
        <v>9.5</v>
      </c>
      <c r="G42" s="70">
        <v>0.16666666666666666</v>
      </c>
    </row>
    <row r="43" spans="2:7" x14ac:dyDescent="0.3">
      <c r="B43" s="70">
        <v>0.1875</v>
      </c>
      <c r="C43" s="71">
        <v>10</v>
      </c>
      <c r="D43" s="70">
        <v>0.1875</v>
      </c>
      <c r="E43" s="66">
        <f t="shared" si="0"/>
        <v>18</v>
      </c>
      <c r="F43" s="71">
        <v>10</v>
      </c>
      <c r="G43" s="70">
        <v>0.1875</v>
      </c>
    </row>
    <row r="44" spans="2:7" x14ac:dyDescent="0.3">
      <c r="B44" s="70">
        <v>0.20833333333333334</v>
      </c>
      <c r="C44" s="71">
        <v>10.5</v>
      </c>
      <c r="D44" s="70">
        <v>0.20833333333333334</v>
      </c>
      <c r="E44" s="66">
        <f t="shared" si="0"/>
        <v>18.5</v>
      </c>
      <c r="F44" s="71">
        <v>10.5</v>
      </c>
      <c r="G44" s="70">
        <v>0.20833333333333334</v>
      </c>
    </row>
    <row r="45" spans="2:7" x14ac:dyDescent="0.3">
      <c r="B45" s="70">
        <v>0.22916666666666666</v>
      </c>
      <c r="C45" s="71">
        <v>11</v>
      </c>
      <c r="D45" s="70">
        <v>0.22916666666666666</v>
      </c>
      <c r="E45" s="66">
        <f t="shared" si="0"/>
        <v>19</v>
      </c>
      <c r="F45" s="71">
        <v>11</v>
      </c>
      <c r="G45" s="70">
        <v>0.22916666666666666</v>
      </c>
    </row>
    <row r="46" spans="2:7" x14ac:dyDescent="0.3">
      <c r="B46" s="70">
        <v>0.25</v>
      </c>
      <c r="C46" s="71">
        <v>11.5</v>
      </c>
      <c r="D46" s="70">
        <v>0.25</v>
      </c>
      <c r="E46" s="66">
        <f t="shared" si="0"/>
        <v>19.5</v>
      </c>
      <c r="F46" s="71">
        <v>11.5</v>
      </c>
      <c r="G46" s="70">
        <v>0.25</v>
      </c>
    </row>
    <row r="47" spans="2:7" x14ac:dyDescent="0.3">
      <c r="B47" s="70">
        <v>0.27083333333333331</v>
      </c>
      <c r="C47" s="71">
        <v>12</v>
      </c>
      <c r="D47" s="70">
        <v>0.27083333333333331</v>
      </c>
      <c r="E47" s="66">
        <f t="shared" si="0"/>
        <v>20</v>
      </c>
      <c r="F47" s="71">
        <v>12</v>
      </c>
      <c r="G47" s="70">
        <v>0.27083333333333331</v>
      </c>
    </row>
    <row r="48" spans="2:7" x14ac:dyDescent="0.3">
      <c r="B48" s="70">
        <v>0.29166666666666669</v>
      </c>
      <c r="C48" s="71">
        <v>12.5</v>
      </c>
      <c r="D48" s="70">
        <v>0.29166666666666669</v>
      </c>
      <c r="E48" s="66">
        <f t="shared" si="0"/>
        <v>20.5</v>
      </c>
      <c r="F48" s="71">
        <v>12.5</v>
      </c>
      <c r="G48" s="70">
        <v>0.29166666666666669</v>
      </c>
    </row>
    <row r="49" spans="1:7" x14ac:dyDescent="0.3">
      <c r="B49" s="70">
        <v>0.3125</v>
      </c>
      <c r="C49" s="71">
        <v>13</v>
      </c>
      <c r="D49" s="70">
        <v>0.3125</v>
      </c>
      <c r="E49" s="66">
        <f t="shared" si="0"/>
        <v>21</v>
      </c>
      <c r="F49" s="71">
        <v>13</v>
      </c>
      <c r="G49" s="70">
        <v>0.3125</v>
      </c>
    </row>
    <row r="50" spans="1:7" x14ac:dyDescent="0.3">
      <c r="B50" s="70">
        <v>0.33333333333333331</v>
      </c>
      <c r="C50" s="71">
        <v>13.5</v>
      </c>
      <c r="D50" s="70">
        <v>0.33333333333333331</v>
      </c>
      <c r="E50" s="66">
        <f t="shared" si="0"/>
        <v>21.5</v>
      </c>
      <c r="F50" s="71">
        <v>13.5</v>
      </c>
      <c r="G50" s="70">
        <v>0.33333333333333331</v>
      </c>
    </row>
    <row r="51" spans="1:7" x14ac:dyDescent="0.3">
      <c r="A51" s="72"/>
      <c r="B51" s="72"/>
      <c r="C51" s="72"/>
    </row>
    <row r="52" spans="1:7" x14ac:dyDescent="0.3">
      <c r="A52" s="72"/>
      <c r="B52" s="72"/>
      <c r="C52" s="72"/>
    </row>
    <row r="53" spans="1:7" x14ac:dyDescent="0.3">
      <c r="A53" s="72"/>
      <c r="B53" s="72"/>
      <c r="C53" s="72"/>
    </row>
    <row r="54" spans="1:7" x14ac:dyDescent="0.3">
      <c r="A54" s="72"/>
      <c r="B54" s="72"/>
      <c r="C54" s="72"/>
    </row>
    <row r="55" spans="1:7" x14ac:dyDescent="0.3">
      <c r="A55" s="72"/>
      <c r="B55" s="72"/>
      <c r="C55" s="72"/>
    </row>
    <row r="56" spans="1:7" x14ac:dyDescent="0.3">
      <c r="A56" s="72"/>
      <c r="B56" s="72"/>
      <c r="C56" s="72"/>
    </row>
    <row r="57" spans="1:7" x14ac:dyDescent="0.3">
      <c r="A57" s="72"/>
      <c r="B57" s="72"/>
      <c r="C57" s="72"/>
    </row>
    <row r="58" spans="1:7" x14ac:dyDescent="0.3">
      <c r="A58" s="72"/>
      <c r="B58" s="72"/>
      <c r="C58" s="72"/>
    </row>
    <row r="59" spans="1:7" x14ac:dyDescent="0.3">
      <c r="A59" s="72"/>
      <c r="B59" s="72"/>
      <c r="C59" s="72"/>
    </row>
    <row r="60" spans="1:7" x14ac:dyDescent="0.3">
      <c r="A60" s="72"/>
      <c r="B60" s="72"/>
      <c r="C60" s="72"/>
    </row>
    <row r="61" spans="1:7" x14ac:dyDescent="0.3">
      <c r="A61" s="72"/>
      <c r="B61" s="72"/>
      <c r="C61" s="72"/>
    </row>
    <row r="62" spans="1:7" x14ac:dyDescent="0.3">
      <c r="A62" s="72"/>
      <c r="B62" s="72"/>
      <c r="C62" s="72"/>
    </row>
    <row r="63" spans="1:7" x14ac:dyDescent="0.3">
      <c r="A63" s="72"/>
      <c r="B63" s="72"/>
      <c r="C63" s="72"/>
    </row>
    <row r="64" spans="1:7" x14ac:dyDescent="0.3">
      <c r="A64" s="72"/>
      <c r="B64" s="72"/>
      <c r="C64" s="72"/>
    </row>
    <row r="65" spans="1:3" x14ac:dyDescent="0.3">
      <c r="A65" s="72"/>
      <c r="B65" s="72"/>
      <c r="C65" s="72"/>
    </row>
    <row r="66" spans="1:3" x14ac:dyDescent="0.3">
      <c r="A66" s="72"/>
      <c r="B66" s="72"/>
      <c r="C66" s="72"/>
    </row>
    <row r="100" spans="3:3" x14ac:dyDescent="0.3">
      <c r="C100" s="65" t="s">
        <v>73</v>
      </c>
    </row>
    <row r="101" spans="3:3" x14ac:dyDescent="0.3">
      <c r="C101" s="65" t="s">
        <v>74</v>
      </c>
    </row>
    <row r="102" spans="3:3" x14ac:dyDescent="0.3">
      <c r="C102" s="65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7836-6BFD-42AE-A845-B68A23DC86D0}">
  <sheetPr>
    <tabColor rgb="FFFF0000"/>
  </sheetPr>
  <dimension ref="A1:V43"/>
  <sheetViews>
    <sheetView showGridLines="0" topLeftCell="A4" workbookViewId="0">
      <selection activeCell="X21" sqref="X21"/>
    </sheetView>
  </sheetViews>
  <sheetFormatPr defaultRowHeight="16.5" x14ac:dyDescent="0.3"/>
  <cols>
    <col min="1" max="1" width="1.625" customWidth="1"/>
    <col min="2" max="2" width="15.875" bestFit="1" customWidth="1"/>
    <col min="12" max="12" width="17.375" customWidth="1"/>
    <col min="14" max="14" width="19.375" bestFit="1" customWidth="1"/>
    <col min="18" max="18" width="22.75" bestFit="1" customWidth="1"/>
    <col min="19" max="19" width="10.5" hidden="1" customWidth="1"/>
    <col min="20" max="20" width="8.875" customWidth="1"/>
    <col min="21" max="21" width="10.375" hidden="1" customWidth="1"/>
    <col min="22" max="22" width="9" hidden="1" customWidth="1"/>
  </cols>
  <sheetData>
    <row r="1" spans="1:22" x14ac:dyDescent="0.3">
      <c r="A1" s="17"/>
      <c r="B1" s="17"/>
      <c r="C1" s="17"/>
      <c r="D1" s="17"/>
      <c r="E1" s="17"/>
      <c r="F1" s="17"/>
      <c r="G1" s="18"/>
      <c r="H1" s="19"/>
      <c r="I1" s="19"/>
      <c r="J1" s="18"/>
      <c r="K1" s="19"/>
      <c r="L1" s="19"/>
      <c r="M1" s="19"/>
      <c r="N1" s="17"/>
      <c r="O1" s="18"/>
      <c r="P1" s="19"/>
      <c r="Q1" s="19"/>
      <c r="R1" s="17"/>
      <c r="S1" s="20"/>
    </row>
    <row r="2" spans="1:22" x14ac:dyDescent="0.3">
      <c r="A2" s="17"/>
      <c r="B2" s="21" t="s">
        <v>28</v>
      </c>
      <c r="C2" s="22"/>
      <c r="D2" s="22"/>
      <c r="E2" s="22"/>
      <c r="F2" s="22"/>
      <c r="G2" s="23"/>
      <c r="H2" s="24"/>
      <c r="I2" s="24"/>
      <c r="J2" s="23"/>
      <c r="K2" s="24"/>
      <c r="L2" s="24"/>
      <c r="M2" s="24"/>
      <c r="N2" s="22"/>
      <c r="O2" s="23"/>
      <c r="P2" s="24"/>
      <c r="Q2" s="24"/>
      <c r="R2" s="22"/>
      <c r="S2" s="25"/>
    </row>
    <row r="3" spans="1:22" x14ac:dyDescent="0.3">
      <c r="A3" s="17"/>
      <c r="B3" s="26">
        <v>46083</v>
      </c>
      <c r="C3" s="26"/>
      <c r="D3" s="26"/>
      <c r="E3" s="26"/>
      <c r="F3" s="27" t="s">
        <v>77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2" ht="16.5" customHeight="1" x14ac:dyDescent="0.3">
      <c r="A4" s="17"/>
      <c r="B4" s="105" t="s">
        <v>30</v>
      </c>
      <c r="C4" s="105" t="s">
        <v>31</v>
      </c>
      <c r="D4" s="105" t="s">
        <v>25</v>
      </c>
      <c r="E4" s="105" t="s">
        <v>32</v>
      </c>
      <c r="F4" s="105" t="s">
        <v>33</v>
      </c>
      <c r="G4" s="102" t="s">
        <v>34</v>
      </c>
      <c r="H4" s="103"/>
      <c r="I4" s="103"/>
      <c r="J4" s="103"/>
      <c r="K4" s="103"/>
      <c r="L4" s="103"/>
      <c r="M4" s="104"/>
      <c r="N4" s="28">
        <f>B3-1</f>
        <v>46082</v>
      </c>
      <c r="O4" s="87" t="s">
        <v>35</v>
      </c>
      <c r="P4" s="88"/>
      <c r="Q4" s="89"/>
      <c r="R4" s="29">
        <f>B3</f>
        <v>46083</v>
      </c>
      <c r="S4" s="30" t="s">
        <v>36</v>
      </c>
      <c r="U4" s="31" t="s">
        <v>37</v>
      </c>
      <c r="V4" s="32"/>
    </row>
    <row r="5" spans="1:22" ht="16.5" customHeight="1" x14ac:dyDescent="0.3">
      <c r="A5" s="17"/>
      <c r="B5" s="106"/>
      <c r="C5" s="106"/>
      <c r="D5" s="106"/>
      <c r="E5" s="106"/>
      <c r="F5" s="106"/>
      <c r="G5" s="90" t="s">
        <v>38</v>
      </c>
      <c r="H5" s="91"/>
      <c r="I5" s="92" t="s">
        <v>39</v>
      </c>
      <c r="J5" s="93"/>
      <c r="K5" s="91"/>
      <c r="L5" s="94" t="s">
        <v>40</v>
      </c>
      <c r="M5" s="96" t="s">
        <v>41</v>
      </c>
      <c r="N5" s="94" t="s">
        <v>43</v>
      </c>
      <c r="O5" s="98" t="s">
        <v>44</v>
      </c>
      <c r="P5" s="99"/>
      <c r="Q5" s="100" t="s">
        <v>41</v>
      </c>
      <c r="R5" s="85" t="s">
        <v>42</v>
      </c>
      <c r="S5" s="33"/>
      <c r="U5" s="34"/>
      <c r="V5" s="35"/>
    </row>
    <row r="6" spans="1:22" x14ac:dyDescent="0.3">
      <c r="A6" s="17"/>
      <c r="B6" s="106"/>
      <c r="C6" s="106"/>
      <c r="D6" s="106"/>
      <c r="E6" s="106"/>
      <c r="F6" s="106"/>
      <c r="G6" s="36" t="s">
        <v>45</v>
      </c>
      <c r="H6" s="37"/>
      <c r="I6" s="37" t="s">
        <v>46</v>
      </c>
      <c r="J6" s="37" t="s">
        <v>45</v>
      </c>
      <c r="K6" s="37"/>
      <c r="L6" s="95"/>
      <c r="M6" s="97"/>
      <c r="N6" s="95"/>
      <c r="O6" s="75" t="s">
        <v>45</v>
      </c>
      <c r="P6" s="76" t="s">
        <v>38</v>
      </c>
      <c r="Q6" s="101"/>
      <c r="R6" s="86"/>
      <c r="S6" s="33"/>
      <c r="U6" s="36" t="s">
        <v>47</v>
      </c>
      <c r="V6" s="40" t="s">
        <v>48</v>
      </c>
    </row>
    <row r="7" spans="1:22" x14ac:dyDescent="0.3">
      <c r="A7" s="17"/>
      <c r="B7" s="77">
        <f t="shared" ref="B7:B40" si="0">+ROW()-6</f>
        <v>1</v>
      </c>
      <c r="C7" s="77" t="s">
        <v>49</v>
      </c>
      <c r="D7" s="77" t="s">
        <v>50</v>
      </c>
      <c r="E7" s="77" t="s">
        <v>51</v>
      </c>
      <c r="F7" s="77" t="s">
        <v>52</v>
      </c>
      <c r="G7" s="78">
        <v>0.72916666666666663</v>
      </c>
      <c r="H7" s="79"/>
      <c r="I7" s="78">
        <v>0.35416666666666602</v>
      </c>
      <c r="J7" s="78">
        <v>0.72916666666666663</v>
      </c>
      <c r="K7" s="79">
        <f>IFERROR(VLOOKUP(J7,기준!B:C,2,FALSE),"")-IFERROR(VLOOKUP(I7,기준!D:E,2,FALSE),"")</f>
        <v>0</v>
      </c>
      <c r="L7" s="78">
        <f>IFERROR(VLOOKUP(K7,기준!F:G,2,FALSE),"")</f>
        <v>0.72916666666666663</v>
      </c>
      <c r="M7" s="80">
        <f t="shared" ref="M7:M40" si="1">K7</f>
        <v>0</v>
      </c>
      <c r="N7" s="81" t="s">
        <v>76</v>
      </c>
      <c r="O7" s="78">
        <v>0.72916666666666663</v>
      </c>
      <c r="P7" s="79" t="s">
        <v>54</v>
      </c>
      <c r="Q7" s="79">
        <v>0</v>
      </c>
      <c r="R7" s="81" t="s">
        <v>76</v>
      </c>
      <c r="S7" s="48" t="s">
        <v>55</v>
      </c>
      <c r="U7" s="44">
        <v>0.35416666666666602</v>
      </c>
      <c r="V7" s="49">
        <f>COUNTIF($I$7:$I$19,U7)</f>
        <v>13</v>
      </c>
    </row>
    <row r="8" spans="1:22" x14ac:dyDescent="0.3">
      <c r="A8" s="17"/>
      <c r="B8" s="51">
        <f t="shared" si="0"/>
        <v>2</v>
      </c>
      <c r="C8" s="51" t="s">
        <v>56</v>
      </c>
      <c r="D8" s="51" t="s">
        <v>14</v>
      </c>
      <c r="E8" s="51" t="s">
        <v>57</v>
      </c>
      <c r="F8" s="51" t="s">
        <v>52</v>
      </c>
      <c r="G8" s="78">
        <v>0.72916666666666663</v>
      </c>
      <c r="H8" s="82"/>
      <c r="I8" s="78">
        <v>0.35416666666666602</v>
      </c>
      <c r="J8" s="78">
        <v>0.72916666666666663</v>
      </c>
      <c r="K8" s="79">
        <f>IFERROR(VLOOKUP(J8,기준!B:C,2,FALSE),"")-IFERROR(VLOOKUP(I8,기준!D:E,2,FALSE),"")</f>
        <v>0</v>
      </c>
      <c r="L8" s="78">
        <f>IFERROR(VLOOKUP(K8,기준!F:G,2,FALSE),"")</f>
        <v>0.72916666666666663</v>
      </c>
      <c r="M8" s="83">
        <f t="shared" si="1"/>
        <v>0</v>
      </c>
      <c r="N8" s="81" t="s">
        <v>55</v>
      </c>
      <c r="O8" s="78">
        <v>0.72916666666666663</v>
      </c>
      <c r="P8" s="82"/>
      <c r="Q8" s="82">
        <v>0</v>
      </c>
      <c r="R8" s="81" t="s">
        <v>55</v>
      </c>
      <c r="S8" s="48" t="s">
        <v>55</v>
      </c>
      <c r="U8" s="44">
        <v>0.39583333333333298</v>
      </c>
      <c r="V8" s="49">
        <f>COUNTIF($I$7:$I$19,U8)</f>
        <v>0</v>
      </c>
    </row>
    <row r="9" spans="1:22" x14ac:dyDescent="0.3">
      <c r="A9" s="17"/>
      <c r="B9" s="51">
        <f t="shared" si="0"/>
        <v>3</v>
      </c>
      <c r="C9" s="77" t="s">
        <v>49</v>
      </c>
      <c r="D9" s="51" t="s">
        <v>13</v>
      </c>
      <c r="E9" s="51" t="s">
        <v>57</v>
      </c>
      <c r="F9" s="51" t="s">
        <v>52</v>
      </c>
      <c r="G9" s="78">
        <v>0.72916666666666663</v>
      </c>
      <c r="H9" s="82"/>
      <c r="I9" s="78">
        <v>0.35416666666666602</v>
      </c>
      <c r="J9" s="78">
        <v>0.72916666666666663</v>
      </c>
      <c r="K9" s="79">
        <f>IFERROR(VLOOKUP(J9,기준!B:C,2,FALSE),"")-IFERROR(VLOOKUP(I9,기준!D:E,2,FALSE),"")</f>
        <v>0</v>
      </c>
      <c r="L9" s="78">
        <f>IFERROR(VLOOKUP(K9,기준!F:G,2,FALSE),"")</f>
        <v>0.72916666666666663</v>
      </c>
      <c r="M9" s="83">
        <f t="shared" si="1"/>
        <v>0</v>
      </c>
      <c r="N9" s="81" t="s">
        <v>55</v>
      </c>
      <c r="O9" s="78">
        <v>0.72916666666666663</v>
      </c>
      <c r="P9" s="82" t="s">
        <v>54</v>
      </c>
      <c r="Q9" s="82">
        <v>0</v>
      </c>
      <c r="R9" s="81" t="s">
        <v>55</v>
      </c>
      <c r="S9" s="48" t="s">
        <v>58</v>
      </c>
      <c r="U9" s="44">
        <v>0.41666666666666602</v>
      </c>
      <c r="V9" s="49">
        <f>COUNTIF($I$7:$I$19,U9)</f>
        <v>0</v>
      </c>
    </row>
    <row r="10" spans="1:22" x14ac:dyDescent="0.3">
      <c r="A10" s="17"/>
      <c r="B10" s="51">
        <f t="shared" si="0"/>
        <v>4</v>
      </c>
      <c r="C10" s="77" t="s">
        <v>49</v>
      </c>
      <c r="D10" s="51" t="s">
        <v>59</v>
      </c>
      <c r="E10" s="51" t="s">
        <v>57</v>
      </c>
      <c r="F10" s="51" t="s">
        <v>52</v>
      </c>
      <c r="G10" s="78">
        <v>0.72916666666666663</v>
      </c>
      <c r="H10" s="82"/>
      <c r="I10" s="78">
        <v>0.35416666666666602</v>
      </c>
      <c r="J10" s="78">
        <v>0.72916666666666663</v>
      </c>
      <c r="K10" s="79">
        <f>IFERROR(VLOOKUP(J10,기준!B:C,2,FALSE),"")-IFERROR(VLOOKUP(I10,기준!D:E,2,FALSE),"")</f>
        <v>0</v>
      </c>
      <c r="L10" s="78">
        <f>IFERROR(VLOOKUP(K10,기준!F:G,2,FALSE),"")</f>
        <v>0.72916666666666663</v>
      </c>
      <c r="M10" s="83">
        <f t="shared" si="1"/>
        <v>0</v>
      </c>
      <c r="N10" s="81" t="s">
        <v>55</v>
      </c>
      <c r="O10" s="78">
        <v>0.72916666666666663</v>
      </c>
      <c r="P10" s="82"/>
      <c r="Q10" s="82">
        <v>0</v>
      </c>
      <c r="R10" s="81" t="s">
        <v>55</v>
      </c>
      <c r="S10" s="48"/>
      <c r="U10" s="44">
        <v>0.5625</v>
      </c>
      <c r="V10" s="49">
        <f>COUNTIF($I$7:$I$19,U10)</f>
        <v>0</v>
      </c>
    </row>
    <row r="11" spans="1:22" x14ac:dyDescent="0.3">
      <c r="A11" s="17"/>
      <c r="B11" s="51">
        <f t="shared" si="0"/>
        <v>5</v>
      </c>
      <c r="C11" s="77" t="s">
        <v>49</v>
      </c>
      <c r="D11" s="51" t="s">
        <v>11</v>
      </c>
      <c r="E11" s="51" t="s">
        <v>57</v>
      </c>
      <c r="F11" s="51" t="s">
        <v>52</v>
      </c>
      <c r="G11" s="78">
        <v>0.72916666666666663</v>
      </c>
      <c r="H11" s="84"/>
      <c r="I11" s="78">
        <v>0.35416666666666602</v>
      </c>
      <c r="J11" s="78">
        <v>0.72916666666666663</v>
      </c>
      <c r="K11" s="79">
        <f>IFERROR(VLOOKUP(J11,기준!B:C,2,FALSE),"")-IFERROR(VLOOKUP(I11,기준!D:E,2,FALSE),"")</f>
        <v>0</v>
      </c>
      <c r="L11" s="78">
        <f>IFERROR(VLOOKUP(K11,기준!F:G,2,FALSE),"")</f>
        <v>0.72916666666666663</v>
      </c>
      <c r="M11" s="83">
        <f t="shared" si="1"/>
        <v>0</v>
      </c>
      <c r="N11" s="81" t="s">
        <v>55</v>
      </c>
      <c r="O11" s="78">
        <v>0.72916666666666663</v>
      </c>
      <c r="P11" s="82" t="s">
        <v>54</v>
      </c>
      <c r="Q11" s="82">
        <v>0</v>
      </c>
      <c r="R11" s="81" t="s">
        <v>55</v>
      </c>
      <c r="S11" s="48"/>
      <c r="U11" s="44">
        <v>0.72916666666666663</v>
      </c>
      <c r="V11" s="49">
        <f>COUNTIF($J$7:$J$19,U11)</f>
        <v>13</v>
      </c>
    </row>
    <row r="12" spans="1:22" x14ac:dyDescent="0.3">
      <c r="A12" s="17"/>
      <c r="B12" s="51">
        <f t="shared" si="0"/>
        <v>6</v>
      </c>
      <c r="C12" s="77" t="s">
        <v>49</v>
      </c>
      <c r="D12" s="51" t="s">
        <v>60</v>
      </c>
      <c r="E12" s="51" t="s">
        <v>57</v>
      </c>
      <c r="F12" s="51" t="s">
        <v>52</v>
      </c>
      <c r="G12" s="78">
        <v>0.72916666666666663</v>
      </c>
      <c r="H12" s="82"/>
      <c r="I12" s="78">
        <v>0.35416666666666602</v>
      </c>
      <c r="J12" s="78">
        <v>0.72916666666666663</v>
      </c>
      <c r="K12" s="79">
        <f>IFERROR(VLOOKUP(J12,기준!B:C,2,FALSE),"")-IFERROR(VLOOKUP(I12,기준!D:E,2,FALSE),"")</f>
        <v>0</v>
      </c>
      <c r="L12" s="78">
        <f>IFERROR(VLOOKUP(K12,기준!F:G,2,FALSE),"")</f>
        <v>0.72916666666666663</v>
      </c>
      <c r="M12" s="83">
        <f t="shared" si="1"/>
        <v>0</v>
      </c>
      <c r="N12" s="81" t="s">
        <v>55</v>
      </c>
      <c r="O12" s="78">
        <v>0.72916666666666696</v>
      </c>
      <c r="P12" s="82"/>
      <c r="Q12" s="82">
        <v>0</v>
      </c>
      <c r="R12" s="81" t="s">
        <v>55</v>
      </c>
      <c r="S12" s="48"/>
      <c r="U12" s="44">
        <v>0.75</v>
      </c>
      <c r="V12" s="49">
        <f>COUNTIF($J$7:$J$19,U12)</f>
        <v>0</v>
      </c>
    </row>
    <row r="13" spans="1:22" ht="17.25" customHeight="1" x14ac:dyDescent="0.3">
      <c r="A13" s="17"/>
      <c r="B13" s="51">
        <f t="shared" si="0"/>
        <v>7</v>
      </c>
      <c r="C13" s="77" t="s">
        <v>49</v>
      </c>
      <c r="D13" s="51" t="s">
        <v>61</v>
      </c>
      <c r="E13" s="51" t="s">
        <v>57</v>
      </c>
      <c r="F13" s="51" t="s">
        <v>52</v>
      </c>
      <c r="G13" s="78">
        <v>0.72916666666666663</v>
      </c>
      <c r="H13" s="82"/>
      <c r="I13" s="78">
        <v>0.35416666666666602</v>
      </c>
      <c r="J13" s="78">
        <v>0.72916666666666663</v>
      </c>
      <c r="K13" s="79">
        <f>IFERROR(VLOOKUP(J13,기준!B:C,2,FALSE),"")-IFERROR(VLOOKUP(I13,기준!D:E,2,FALSE),"")</f>
        <v>0</v>
      </c>
      <c r="L13" s="78">
        <f>IFERROR(VLOOKUP(K13,기준!F:G,2,FALSE),"")</f>
        <v>0.72916666666666663</v>
      </c>
      <c r="M13" s="83">
        <f t="shared" si="1"/>
        <v>0</v>
      </c>
      <c r="N13" s="81" t="s">
        <v>55</v>
      </c>
      <c r="O13" s="78">
        <v>0.72916666666666696</v>
      </c>
      <c r="P13" s="82"/>
      <c r="Q13" s="82">
        <v>0</v>
      </c>
      <c r="R13" s="81" t="s">
        <v>55</v>
      </c>
      <c r="S13" s="48"/>
      <c r="U13" s="44">
        <v>0.77083333333333304</v>
      </c>
      <c r="V13" s="49">
        <f>COUNTIF($J$7:$J$19,U13)</f>
        <v>0</v>
      </c>
    </row>
    <row r="14" spans="1:22" x14ac:dyDescent="0.3">
      <c r="A14" s="17"/>
      <c r="B14" s="51">
        <f t="shared" si="0"/>
        <v>8</v>
      </c>
      <c r="C14" s="77" t="s">
        <v>49</v>
      </c>
      <c r="D14" s="51" t="s">
        <v>8</v>
      </c>
      <c r="E14" s="51" t="s">
        <v>57</v>
      </c>
      <c r="F14" s="51" t="s">
        <v>62</v>
      </c>
      <c r="G14" s="78">
        <v>0.72916666666666663</v>
      </c>
      <c r="H14" s="84"/>
      <c r="I14" s="78">
        <v>0.35416666666666602</v>
      </c>
      <c r="J14" s="78">
        <v>0.72916666666666663</v>
      </c>
      <c r="K14" s="79">
        <f>IFERROR(VLOOKUP(J14,기준!B:C,2,FALSE),"")-IFERROR(VLOOKUP(I14,기준!D:E,2,FALSE),"")</f>
        <v>0</v>
      </c>
      <c r="L14" s="78">
        <f>IFERROR(VLOOKUP(K14,기준!F:G,2,FALSE),"")</f>
        <v>0.72916666666666663</v>
      </c>
      <c r="M14" s="83">
        <f t="shared" si="1"/>
        <v>0</v>
      </c>
      <c r="N14" s="81" t="s">
        <v>55</v>
      </c>
      <c r="O14" s="78">
        <v>0.72916666666666696</v>
      </c>
      <c r="P14" s="82"/>
      <c r="Q14" s="82">
        <v>0</v>
      </c>
      <c r="R14" s="81" t="s">
        <v>55</v>
      </c>
      <c r="S14" s="48"/>
      <c r="U14" s="44">
        <v>0.79166666666666696</v>
      </c>
      <c r="V14" s="49">
        <f>COUNTIF($J$7:$J$19,U14)</f>
        <v>0</v>
      </c>
    </row>
    <row r="15" spans="1:22" x14ac:dyDescent="0.3">
      <c r="A15" s="17"/>
      <c r="B15" s="51">
        <f t="shared" si="0"/>
        <v>9</v>
      </c>
      <c r="C15" s="51" t="s">
        <v>56</v>
      </c>
      <c r="D15" s="51" t="s">
        <v>7</v>
      </c>
      <c r="E15" s="51" t="s">
        <v>57</v>
      </c>
      <c r="F15" s="51" t="s">
        <v>62</v>
      </c>
      <c r="G15" s="78">
        <v>0.72916666666666663</v>
      </c>
      <c r="H15" s="84"/>
      <c r="I15" s="78">
        <v>0.35416666666666602</v>
      </c>
      <c r="J15" s="78">
        <v>0.72916666666666663</v>
      </c>
      <c r="K15" s="79">
        <f>IFERROR(VLOOKUP(J15,기준!B:C,2,FALSE),"")-IFERROR(VLOOKUP(I15,기준!D:E,2,FALSE),"")</f>
        <v>0</v>
      </c>
      <c r="L15" s="78">
        <f>IFERROR(VLOOKUP(K15,기준!F:G,2,FALSE),"")</f>
        <v>0.72916666666666663</v>
      </c>
      <c r="M15" s="83">
        <f t="shared" si="1"/>
        <v>0</v>
      </c>
      <c r="N15" s="81" t="s">
        <v>55</v>
      </c>
      <c r="O15" s="78">
        <v>0.72916666666666696</v>
      </c>
      <c r="P15" s="82"/>
      <c r="Q15" s="82">
        <v>0</v>
      </c>
      <c r="R15" s="81" t="s">
        <v>55</v>
      </c>
      <c r="S15" s="48"/>
      <c r="U15" s="44"/>
      <c r="V15" s="49"/>
    </row>
    <row r="16" spans="1:22" x14ac:dyDescent="0.3">
      <c r="A16" s="17"/>
      <c r="B16" s="51">
        <f t="shared" si="0"/>
        <v>10</v>
      </c>
      <c r="C16" s="51" t="s">
        <v>63</v>
      </c>
      <c r="D16" s="51" t="s">
        <v>5</v>
      </c>
      <c r="E16" s="51" t="s">
        <v>64</v>
      </c>
      <c r="F16" s="51" t="s">
        <v>65</v>
      </c>
      <c r="G16" s="78">
        <v>0.72916666666666663</v>
      </c>
      <c r="H16" s="82"/>
      <c r="I16" s="78">
        <v>0.35416666666666602</v>
      </c>
      <c r="J16" s="78">
        <v>0.72916666666666663</v>
      </c>
      <c r="K16" s="79">
        <f>IFERROR(VLOOKUP(J16,기준!B:C,2,FALSE),"")-IFERROR(VLOOKUP(I16,기준!D:E,2,FALSE),"")</f>
        <v>0</v>
      </c>
      <c r="L16" s="78">
        <f>IFERROR(VLOOKUP(K16,기준!F:G,2,FALSE),"")</f>
        <v>0.72916666666666663</v>
      </c>
      <c r="M16" s="83">
        <f t="shared" si="1"/>
        <v>0</v>
      </c>
      <c r="N16" s="81" t="s">
        <v>55</v>
      </c>
      <c r="O16" s="78">
        <v>0.72916666666666663</v>
      </c>
      <c r="P16" s="82" t="s">
        <v>54</v>
      </c>
      <c r="Q16" s="82">
        <v>0</v>
      </c>
      <c r="R16" s="81" t="s">
        <v>55</v>
      </c>
      <c r="S16" s="48" t="s">
        <v>55</v>
      </c>
      <c r="U16" s="44">
        <v>0.8125</v>
      </c>
      <c r="V16" s="49">
        <f t="shared" ref="V16:V24" si="2">COUNTIF($J$7:$J$19,U16)</f>
        <v>0</v>
      </c>
    </row>
    <row r="17" spans="1:22" x14ac:dyDescent="0.3">
      <c r="A17" s="17"/>
      <c r="B17" s="51">
        <f t="shared" si="0"/>
        <v>11</v>
      </c>
      <c r="C17" s="77" t="s">
        <v>49</v>
      </c>
      <c r="D17" s="51" t="s">
        <v>66</v>
      </c>
      <c r="E17" s="51" t="s">
        <v>64</v>
      </c>
      <c r="F17" s="51" t="s">
        <v>65</v>
      </c>
      <c r="G17" s="78">
        <v>0.72916666666666663</v>
      </c>
      <c r="H17" s="84"/>
      <c r="I17" s="78">
        <v>0.35416666666666602</v>
      </c>
      <c r="J17" s="78">
        <v>0.72916666666666663</v>
      </c>
      <c r="K17" s="79">
        <f>IFERROR(VLOOKUP(J17,기준!B:C,2,FALSE),"")-IFERROR(VLOOKUP(I17,기준!D:E,2,FALSE),"")</f>
        <v>0</v>
      </c>
      <c r="L17" s="78">
        <f>IFERROR(VLOOKUP(K17,기준!F:G,2,FALSE),"")</f>
        <v>0.72916666666666663</v>
      </c>
      <c r="M17" s="83">
        <f t="shared" si="1"/>
        <v>0</v>
      </c>
      <c r="N17" s="81" t="s">
        <v>55</v>
      </c>
      <c r="O17" s="78">
        <v>0.72916666666666663</v>
      </c>
      <c r="P17" s="82" t="s">
        <v>54</v>
      </c>
      <c r="Q17" s="82">
        <v>0</v>
      </c>
      <c r="R17" s="81" t="s">
        <v>55</v>
      </c>
      <c r="S17" s="48" t="s">
        <v>58</v>
      </c>
      <c r="U17" s="42">
        <v>0.83333333333333337</v>
      </c>
      <c r="V17" s="49">
        <f t="shared" si="2"/>
        <v>0</v>
      </c>
    </row>
    <row r="18" spans="1:22" x14ac:dyDescent="0.3">
      <c r="A18" s="17"/>
      <c r="B18" s="51">
        <f t="shared" si="0"/>
        <v>12</v>
      </c>
      <c r="C18" s="51" t="s">
        <v>67</v>
      </c>
      <c r="D18" s="51" t="s">
        <v>2</v>
      </c>
      <c r="E18" s="51" t="s">
        <v>57</v>
      </c>
      <c r="F18" s="51" t="s">
        <v>52</v>
      </c>
      <c r="G18" s="78">
        <v>0.72916666666666663</v>
      </c>
      <c r="H18" s="84"/>
      <c r="I18" s="78">
        <v>0.35416666666666602</v>
      </c>
      <c r="J18" s="78">
        <v>0.72916666666666663</v>
      </c>
      <c r="K18" s="79">
        <f>IFERROR(VLOOKUP(J18,기준!B:C,2,FALSE),"")-IFERROR(VLOOKUP(I18,기준!D:E,2,FALSE),"")</f>
        <v>0</v>
      </c>
      <c r="L18" s="78">
        <f>IFERROR(VLOOKUP(K18,기준!F:G,2,FALSE),"")</f>
        <v>0.72916666666666663</v>
      </c>
      <c r="M18" s="83">
        <f t="shared" si="1"/>
        <v>0</v>
      </c>
      <c r="N18" s="81" t="s">
        <v>55</v>
      </c>
      <c r="O18" s="78">
        <v>0.72916666666666663</v>
      </c>
      <c r="P18" s="82"/>
      <c r="Q18" s="82">
        <v>0</v>
      </c>
      <c r="R18" s="81" t="s">
        <v>55</v>
      </c>
      <c r="S18" s="48"/>
      <c r="U18" s="44">
        <v>0.875000000000001</v>
      </c>
      <c r="V18" s="49">
        <f t="shared" si="2"/>
        <v>0</v>
      </c>
    </row>
    <row r="19" spans="1:22" x14ac:dyDescent="0.3">
      <c r="A19" s="17"/>
      <c r="B19" s="51">
        <f t="shared" si="0"/>
        <v>13</v>
      </c>
      <c r="C19" s="51" t="s">
        <v>68</v>
      </c>
      <c r="D19" s="51" t="s">
        <v>69</v>
      </c>
      <c r="E19" s="51" t="s">
        <v>57</v>
      </c>
      <c r="F19" s="51" t="s">
        <v>52</v>
      </c>
      <c r="G19" s="78">
        <v>0.72916666666666663</v>
      </c>
      <c r="H19" s="82"/>
      <c r="I19" s="78">
        <v>0.35416666666666602</v>
      </c>
      <c r="J19" s="78">
        <v>0.72916666666666663</v>
      </c>
      <c r="K19" s="79">
        <f>IFERROR(VLOOKUP(J19,기준!B:C,2,FALSE),"")-IFERROR(VLOOKUP(I19,기준!D:E,2,FALSE),"")</f>
        <v>0</v>
      </c>
      <c r="L19" s="78">
        <f>IFERROR(VLOOKUP(K19,기준!F:G,2,FALSE),"")</f>
        <v>0.72916666666666663</v>
      </c>
      <c r="M19" s="83">
        <f t="shared" si="1"/>
        <v>0</v>
      </c>
      <c r="N19" s="81" t="s">
        <v>55</v>
      </c>
      <c r="O19" s="78">
        <v>0.72916666666666663</v>
      </c>
      <c r="P19" s="82"/>
      <c r="Q19" s="82">
        <v>0</v>
      </c>
      <c r="R19" s="81" t="s">
        <v>55</v>
      </c>
      <c r="S19" s="48"/>
      <c r="U19" s="44">
        <v>0.89583333333333404</v>
      </c>
      <c r="V19" s="49">
        <f t="shared" si="2"/>
        <v>0</v>
      </c>
    </row>
    <row r="20" spans="1:22" x14ac:dyDescent="0.3">
      <c r="B20" s="51">
        <f t="shared" si="0"/>
        <v>14</v>
      </c>
      <c r="C20" s="51" t="s">
        <v>68</v>
      </c>
      <c r="D20" s="51" t="s">
        <v>69</v>
      </c>
      <c r="E20" s="51" t="s">
        <v>57</v>
      </c>
      <c r="F20" s="51" t="s">
        <v>52</v>
      </c>
      <c r="G20" s="78">
        <v>0.72916666666666663</v>
      </c>
      <c r="H20" s="82"/>
      <c r="I20" s="78">
        <v>0.35416666666666602</v>
      </c>
      <c r="J20" s="78">
        <v>0.72916666666666663</v>
      </c>
      <c r="K20" s="79">
        <f>IFERROR(VLOOKUP(J20,기준!B:C,2,FALSE),"")-IFERROR(VLOOKUP(I20,기준!D:E,2,FALSE),"")</f>
        <v>0</v>
      </c>
      <c r="L20" s="78">
        <f>IFERROR(VLOOKUP(K20,기준!F:G,2,FALSE),"")</f>
        <v>0.72916666666666663</v>
      </c>
      <c r="M20" s="83">
        <f t="shared" si="1"/>
        <v>0</v>
      </c>
      <c r="N20" s="81" t="s">
        <v>55</v>
      </c>
      <c r="O20" s="78">
        <v>0.72916666666666696</v>
      </c>
      <c r="P20" s="82"/>
      <c r="Q20" s="82">
        <v>0</v>
      </c>
      <c r="R20" s="81" t="s">
        <v>55</v>
      </c>
      <c r="U20" s="44">
        <v>1</v>
      </c>
      <c r="V20" s="49">
        <f t="shared" si="2"/>
        <v>0</v>
      </c>
    </row>
    <row r="21" spans="1:22" x14ac:dyDescent="0.3">
      <c r="B21" s="51">
        <f t="shared" si="0"/>
        <v>15</v>
      </c>
      <c r="C21" s="51" t="s">
        <v>68</v>
      </c>
      <c r="D21" s="51" t="s">
        <v>69</v>
      </c>
      <c r="E21" s="51" t="s">
        <v>57</v>
      </c>
      <c r="F21" s="51" t="s">
        <v>52</v>
      </c>
      <c r="G21" s="78">
        <v>0.72916666666666663</v>
      </c>
      <c r="H21" s="82"/>
      <c r="I21" s="78">
        <v>0.35416666666666602</v>
      </c>
      <c r="J21" s="78">
        <v>0.72916666666666663</v>
      </c>
      <c r="K21" s="79">
        <f>IFERROR(VLOOKUP(J21,기준!B:C,2,FALSE),"")-IFERROR(VLOOKUP(I21,기준!D:E,2,FALSE),"")</f>
        <v>0</v>
      </c>
      <c r="L21" s="78">
        <f>IFERROR(VLOOKUP(K21,기준!F:G,2,FALSE),"")</f>
        <v>0.72916666666666663</v>
      </c>
      <c r="M21" s="83">
        <f t="shared" si="1"/>
        <v>0</v>
      </c>
      <c r="N21" s="81" t="s">
        <v>55</v>
      </c>
      <c r="O21" s="78">
        <v>0.72916666666666696</v>
      </c>
      <c r="P21" s="82"/>
      <c r="Q21" s="82">
        <v>0</v>
      </c>
      <c r="R21" s="81" t="s">
        <v>55</v>
      </c>
      <c r="U21" s="44">
        <v>1.0208333333333299</v>
      </c>
      <c r="V21" s="49">
        <f t="shared" si="2"/>
        <v>0</v>
      </c>
    </row>
    <row r="22" spans="1:22" x14ac:dyDescent="0.3">
      <c r="B22" s="51">
        <f t="shared" si="0"/>
        <v>16</v>
      </c>
      <c r="C22" s="51" t="s">
        <v>68</v>
      </c>
      <c r="D22" s="51" t="s">
        <v>69</v>
      </c>
      <c r="E22" s="51" t="s">
        <v>57</v>
      </c>
      <c r="F22" s="51" t="s">
        <v>52</v>
      </c>
      <c r="G22" s="78">
        <v>0.72916666666666663</v>
      </c>
      <c r="H22" s="82"/>
      <c r="I22" s="78">
        <v>0.35416666666666602</v>
      </c>
      <c r="J22" s="78">
        <v>0.72916666666666663</v>
      </c>
      <c r="K22" s="79">
        <f>IFERROR(VLOOKUP(J22,기준!B:C,2,FALSE),"")-IFERROR(VLOOKUP(I22,기준!D:E,2,FALSE),"")</f>
        <v>0</v>
      </c>
      <c r="L22" s="78">
        <f>IFERROR(VLOOKUP(K22,기준!F:G,2,FALSE),"")</f>
        <v>0.72916666666666663</v>
      </c>
      <c r="M22" s="83">
        <f t="shared" si="1"/>
        <v>0</v>
      </c>
      <c r="N22" s="81" t="s">
        <v>55</v>
      </c>
      <c r="O22" s="78">
        <v>0.72916666666666696</v>
      </c>
      <c r="P22" s="82"/>
      <c r="Q22" s="82">
        <v>0</v>
      </c>
      <c r="R22" s="81" t="s">
        <v>55</v>
      </c>
      <c r="U22" s="44">
        <v>1.0416666666666701</v>
      </c>
      <c r="V22" s="49">
        <f t="shared" si="2"/>
        <v>0</v>
      </c>
    </row>
    <row r="23" spans="1:22" x14ac:dyDescent="0.3">
      <c r="B23" s="51">
        <f t="shared" si="0"/>
        <v>17</v>
      </c>
      <c r="C23" s="51" t="s">
        <v>68</v>
      </c>
      <c r="D23" s="51" t="s">
        <v>69</v>
      </c>
      <c r="E23" s="51" t="s">
        <v>57</v>
      </c>
      <c r="F23" s="51" t="s">
        <v>52</v>
      </c>
      <c r="G23" s="78">
        <v>0.72916666666666663</v>
      </c>
      <c r="H23" s="82"/>
      <c r="I23" s="78">
        <v>0.35416666666666602</v>
      </c>
      <c r="J23" s="78">
        <v>0.72916666666666663</v>
      </c>
      <c r="K23" s="79">
        <f>IFERROR(VLOOKUP(J23,기준!B:C,2,FALSE),"")-IFERROR(VLOOKUP(I23,기준!D:E,2,FALSE),"")</f>
        <v>0</v>
      </c>
      <c r="L23" s="78">
        <f>IFERROR(VLOOKUP(K23,기준!F:G,2,FALSE),"")</f>
        <v>0.72916666666666663</v>
      </c>
      <c r="M23" s="83">
        <f t="shared" si="1"/>
        <v>0</v>
      </c>
      <c r="N23" s="81" t="s">
        <v>55</v>
      </c>
      <c r="O23" s="78">
        <v>0.72916666666666696</v>
      </c>
      <c r="P23" s="82"/>
      <c r="Q23" s="82">
        <v>0</v>
      </c>
      <c r="R23" s="81" t="s">
        <v>55</v>
      </c>
      <c r="U23" s="44">
        <v>1.0625</v>
      </c>
      <c r="V23" s="49">
        <f t="shared" si="2"/>
        <v>0</v>
      </c>
    </row>
    <row r="24" spans="1:22" x14ac:dyDescent="0.3">
      <c r="B24" s="51">
        <f t="shared" si="0"/>
        <v>18</v>
      </c>
      <c r="C24" s="51" t="s">
        <v>68</v>
      </c>
      <c r="D24" s="51" t="s">
        <v>69</v>
      </c>
      <c r="E24" s="51" t="s">
        <v>57</v>
      </c>
      <c r="F24" s="51" t="s">
        <v>52</v>
      </c>
      <c r="G24" s="78">
        <v>0.72916666666666663</v>
      </c>
      <c r="H24" s="82"/>
      <c r="I24" s="78">
        <v>0.35416666666666602</v>
      </c>
      <c r="J24" s="78">
        <v>0.72916666666666663</v>
      </c>
      <c r="K24" s="79">
        <f>IFERROR(VLOOKUP(J24,기준!B:C,2,FALSE),"")-IFERROR(VLOOKUP(I24,기준!D:E,2,FALSE),"")</f>
        <v>0</v>
      </c>
      <c r="L24" s="78">
        <f>IFERROR(VLOOKUP(K24,기준!F:G,2,FALSE),"")</f>
        <v>0.72916666666666663</v>
      </c>
      <c r="M24" s="83">
        <f t="shared" si="1"/>
        <v>0</v>
      </c>
      <c r="N24" s="81" t="s">
        <v>55</v>
      </c>
      <c r="O24" s="78">
        <v>0.72916666666666663</v>
      </c>
      <c r="P24" s="82"/>
      <c r="Q24" s="82">
        <v>0</v>
      </c>
      <c r="R24" s="81" t="s">
        <v>55</v>
      </c>
      <c r="U24" s="44">
        <v>1.0833333333333299</v>
      </c>
      <c r="V24" s="64">
        <f t="shared" si="2"/>
        <v>0</v>
      </c>
    </row>
    <row r="25" spans="1:22" x14ac:dyDescent="0.3">
      <c r="B25" s="51">
        <f t="shared" si="0"/>
        <v>19</v>
      </c>
      <c r="C25" s="51" t="s">
        <v>68</v>
      </c>
      <c r="D25" s="51" t="s">
        <v>69</v>
      </c>
      <c r="E25" s="51" t="s">
        <v>57</v>
      </c>
      <c r="F25" s="51" t="s">
        <v>52</v>
      </c>
      <c r="G25" s="78">
        <v>0.72916666666666663</v>
      </c>
      <c r="H25" s="82"/>
      <c r="I25" s="78">
        <v>0.35416666666666602</v>
      </c>
      <c r="J25" s="78">
        <v>0.72916666666666663</v>
      </c>
      <c r="K25" s="79">
        <f>IFERROR(VLOOKUP(J25,기준!B:C,2,FALSE),"")-IFERROR(VLOOKUP(I25,기준!D:E,2,FALSE),"")</f>
        <v>0</v>
      </c>
      <c r="L25" s="78">
        <f>IFERROR(VLOOKUP(K25,기준!F:G,2,FALSE),"")</f>
        <v>0.72916666666666663</v>
      </c>
      <c r="M25" s="83">
        <f t="shared" si="1"/>
        <v>0</v>
      </c>
      <c r="N25" s="81" t="s">
        <v>55</v>
      </c>
      <c r="O25" s="78">
        <v>0.72916666666666663</v>
      </c>
      <c r="P25" s="82"/>
      <c r="Q25" s="82">
        <v>0</v>
      </c>
      <c r="R25" s="81" t="s">
        <v>55</v>
      </c>
    </row>
    <row r="26" spans="1:22" x14ac:dyDescent="0.3">
      <c r="B26" s="51">
        <f t="shared" si="0"/>
        <v>20</v>
      </c>
      <c r="C26" s="51" t="s">
        <v>68</v>
      </c>
      <c r="D26" s="51" t="s">
        <v>69</v>
      </c>
      <c r="E26" s="51" t="s">
        <v>57</v>
      </c>
      <c r="F26" s="51" t="s">
        <v>52</v>
      </c>
      <c r="G26" s="78">
        <v>0.72916666666666663</v>
      </c>
      <c r="H26" s="82"/>
      <c r="I26" s="78">
        <v>0.35416666666666602</v>
      </c>
      <c r="J26" s="78">
        <v>0.72916666666666663</v>
      </c>
      <c r="K26" s="79">
        <f>IFERROR(VLOOKUP(J26,기준!B:C,2,FALSE),"")-IFERROR(VLOOKUP(I26,기준!D:E,2,FALSE),"")</f>
        <v>0</v>
      </c>
      <c r="L26" s="78">
        <f>IFERROR(VLOOKUP(K26,기준!F:G,2,FALSE),"")</f>
        <v>0.72916666666666663</v>
      </c>
      <c r="M26" s="83">
        <f t="shared" si="1"/>
        <v>0</v>
      </c>
      <c r="N26" s="81" t="s">
        <v>55</v>
      </c>
      <c r="O26" s="78">
        <v>0.72916666666666696</v>
      </c>
      <c r="P26" s="82"/>
      <c r="Q26" s="82">
        <v>0</v>
      </c>
      <c r="R26" s="81" t="s">
        <v>55</v>
      </c>
    </row>
    <row r="27" spans="1:22" x14ac:dyDescent="0.3">
      <c r="B27" s="51">
        <f t="shared" si="0"/>
        <v>21</v>
      </c>
      <c r="C27" s="51" t="s">
        <v>68</v>
      </c>
      <c r="D27" s="51" t="s">
        <v>69</v>
      </c>
      <c r="E27" s="51" t="s">
        <v>57</v>
      </c>
      <c r="F27" s="51" t="s">
        <v>52</v>
      </c>
      <c r="G27" s="78">
        <v>0.72916666666666663</v>
      </c>
      <c r="H27" s="82"/>
      <c r="I27" s="78">
        <v>0.35416666666666602</v>
      </c>
      <c r="J27" s="78">
        <v>0.72916666666666663</v>
      </c>
      <c r="K27" s="79">
        <f>IFERROR(VLOOKUP(J27,기준!B:C,2,FALSE),"")-IFERROR(VLOOKUP(I27,기준!D:E,2,FALSE),"")</f>
        <v>0</v>
      </c>
      <c r="L27" s="78">
        <f>IFERROR(VLOOKUP(K27,기준!F:G,2,FALSE),"")</f>
        <v>0.72916666666666663</v>
      </c>
      <c r="M27" s="83">
        <f t="shared" si="1"/>
        <v>0</v>
      </c>
      <c r="N27" s="81" t="s">
        <v>55</v>
      </c>
      <c r="O27" s="78">
        <v>0.72916666666666696</v>
      </c>
      <c r="P27" s="82"/>
      <c r="Q27" s="82">
        <v>0</v>
      </c>
      <c r="R27" s="81" t="s">
        <v>55</v>
      </c>
    </row>
    <row r="28" spans="1:22" x14ac:dyDescent="0.3">
      <c r="B28" s="51">
        <f t="shared" si="0"/>
        <v>22</v>
      </c>
      <c r="C28" s="51" t="s">
        <v>68</v>
      </c>
      <c r="D28" s="51" t="s">
        <v>69</v>
      </c>
      <c r="E28" s="51" t="s">
        <v>57</v>
      </c>
      <c r="F28" s="51" t="s">
        <v>52</v>
      </c>
      <c r="G28" s="78">
        <v>0.72916666666666663</v>
      </c>
      <c r="H28" s="82"/>
      <c r="I28" s="78">
        <v>0.35416666666666602</v>
      </c>
      <c r="J28" s="78">
        <v>0.72916666666666663</v>
      </c>
      <c r="K28" s="79">
        <f>IFERROR(VLOOKUP(J28,기준!B:C,2,FALSE),"")-IFERROR(VLOOKUP(I28,기준!D:E,2,FALSE),"")</f>
        <v>0</v>
      </c>
      <c r="L28" s="78">
        <f>IFERROR(VLOOKUP(K28,기준!F:G,2,FALSE),"")</f>
        <v>0.72916666666666663</v>
      </c>
      <c r="M28" s="83">
        <f t="shared" si="1"/>
        <v>0</v>
      </c>
      <c r="N28" s="81" t="s">
        <v>55</v>
      </c>
      <c r="O28" s="78">
        <v>0.72916666666666696</v>
      </c>
      <c r="P28" s="82"/>
      <c r="Q28" s="82">
        <v>0</v>
      </c>
      <c r="R28" s="81" t="s">
        <v>55</v>
      </c>
    </row>
    <row r="29" spans="1:22" x14ac:dyDescent="0.3">
      <c r="B29" s="51">
        <f t="shared" si="0"/>
        <v>23</v>
      </c>
      <c r="C29" s="51" t="s">
        <v>68</v>
      </c>
      <c r="D29" s="51" t="s">
        <v>69</v>
      </c>
      <c r="E29" s="51" t="s">
        <v>57</v>
      </c>
      <c r="F29" s="51" t="s">
        <v>52</v>
      </c>
      <c r="G29" s="78">
        <v>0.72916666666666663</v>
      </c>
      <c r="H29" s="82"/>
      <c r="I29" s="78">
        <v>0.35416666666666602</v>
      </c>
      <c r="J29" s="78">
        <v>0.72916666666666663</v>
      </c>
      <c r="K29" s="79">
        <f>IFERROR(VLOOKUP(J29,기준!B:C,2,FALSE),"")-IFERROR(VLOOKUP(I29,기준!D:E,2,FALSE),"")</f>
        <v>0</v>
      </c>
      <c r="L29" s="78">
        <f>IFERROR(VLOOKUP(K29,기준!F:G,2,FALSE),"")</f>
        <v>0.72916666666666663</v>
      </c>
      <c r="M29" s="83">
        <f t="shared" si="1"/>
        <v>0</v>
      </c>
      <c r="N29" s="81" t="s">
        <v>55</v>
      </c>
      <c r="O29" s="78">
        <v>0.72916666666666696</v>
      </c>
      <c r="P29" s="82"/>
      <c r="Q29" s="82">
        <v>0</v>
      </c>
      <c r="R29" s="81" t="s">
        <v>55</v>
      </c>
    </row>
    <row r="30" spans="1:22" x14ac:dyDescent="0.3">
      <c r="B30" s="51">
        <f t="shared" si="0"/>
        <v>24</v>
      </c>
      <c r="C30" s="51" t="s">
        <v>68</v>
      </c>
      <c r="D30" s="51" t="s">
        <v>69</v>
      </c>
      <c r="E30" s="51" t="s">
        <v>57</v>
      </c>
      <c r="F30" s="51" t="s">
        <v>52</v>
      </c>
      <c r="G30" s="78">
        <v>0.72916666666666663</v>
      </c>
      <c r="H30" s="82"/>
      <c r="I30" s="78">
        <v>0.35416666666666602</v>
      </c>
      <c r="J30" s="78">
        <v>0.72916666666666663</v>
      </c>
      <c r="K30" s="79">
        <f>IFERROR(VLOOKUP(J30,기준!B:C,2,FALSE),"")-IFERROR(VLOOKUP(I30,기준!D:E,2,FALSE),"")</f>
        <v>0</v>
      </c>
      <c r="L30" s="78">
        <f>IFERROR(VLOOKUP(K30,기준!F:G,2,FALSE),"")</f>
        <v>0.72916666666666663</v>
      </c>
      <c r="M30" s="83">
        <f t="shared" si="1"/>
        <v>0</v>
      </c>
      <c r="N30" s="81" t="s">
        <v>55</v>
      </c>
      <c r="O30" s="78">
        <v>0.72916666666666663</v>
      </c>
      <c r="P30" s="82"/>
      <c r="Q30" s="82">
        <v>0</v>
      </c>
      <c r="R30" s="81" t="s">
        <v>55</v>
      </c>
    </row>
    <row r="31" spans="1:22" x14ac:dyDescent="0.3">
      <c r="B31" s="51">
        <f t="shared" si="0"/>
        <v>25</v>
      </c>
      <c r="C31" s="51" t="s">
        <v>68</v>
      </c>
      <c r="D31" s="51" t="s">
        <v>69</v>
      </c>
      <c r="E31" s="51" t="s">
        <v>57</v>
      </c>
      <c r="F31" s="51" t="s">
        <v>52</v>
      </c>
      <c r="G31" s="78">
        <v>0.72916666666666663</v>
      </c>
      <c r="H31" s="82"/>
      <c r="I31" s="78">
        <v>0.35416666666666602</v>
      </c>
      <c r="J31" s="78">
        <v>0.72916666666666663</v>
      </c>
      <c r="K31" s="79">
        <f>IFERROR(VLOOKUP(J31,기준!B:C,2,FALSE),"")-IFERROR(VLOOKUP(I31,기준!D:E,2,FALSE),"")</f>
        <v>0</v>
      </c>
      <c r="L31" s="78">
        <f>IFERROR(VLOOKUP(K31,기준!F:G,2,FALSE),"")</f>
        <v>0.72916666666666663</v>
      </c>
      <c r="M31" s="83">
        <f t="shared" si="1"/>
        <v>0</v>
      </c>
      <c r="N31" s="81" t="s">
        <v>55</v>
      </c>
      <c r="O31" s="78">
        <v>0.72916666666666663</v>
      </c>
      <c r="P31" s="82"/>
      <c r="Q31" s="82">
        <v>0</v>
      </c>
      <c r="R31" s="81" t="s">
        <v>55</v>
      </c>
    </row>
    <row r="32" spans="1:22" x14ac:dyDescent="0.3">
      <c r="B32" s="51">
        <f t="shared" si="0"/>
        <v>26</v>
      </c>
      <c r="C32" s="51" t="s">
        <v>68</v>
      </c>
      <c r="D32" s="51" t="s">
        <v>69</v>
      </c>
      <c r="E32" s="51" t="s">
        <v>57</v>
      </c>
      <c r="F32" s="51" t="s">
        <v>52</v>
      </c>
      <c r="G32" s="78">
        <v>0.72916666666666663</v>
      </c>
      <c r="H32" s="82"/>
      <c r="I32" s="78">
        <v>0.35416666666666602</v>
      </c>
      <c r="J32" s="78">
        <v>0.72916666666666663</v>
      </c>
      <c r="K32" s="79">
        <f>IFERROR(VLOOKUP(J32,기준!B:C,2,FALSE),"")-IFERROR(VLOOKUP(I32,기준!D:E,2,FALSE),"")</f>
        <v>0</v>
      </c>
      <c r="L32" s="78">
        <f>IFERROR(VLOOKUP(K32,기준!F:G,2,FALSE),"")</f>
        <v>0.72916666666666663</v>
      </c>
      <c r="M32" s="83">
        <f t="shared" si="1"/>
        <v>0</v>
      </c>
      <c r="N32" s="81" t="s">
        <v>55</v>
      </c>
      <c r="O32" s="78">
        <v>0.72916666666666696</v>
      </c>
      <c r="P32" s="82"/>
      <c r="Q32" s="82">
        <v>0</v>
      </c>
      <c r="R32" s="81" t="s">
        <v>55</v>
      </c>
    </row>
    <row r="33" spans="2:18" x14ac:dyDescent="0.3">
      <c r="B33" s="51">
        <f t="shared" si="0"/>
        <v>27</v>
      </c>
      <c r="C33" s="51" t="s">
        <v>68</v>
      </c>
      <c r="D33" s="51" t="s">
        <v>69</v>
      </c>
      <c r="E33" s="51" t="s">
        <v>57</v>
      </c>
      <c r="F33" s="51" t="s">
        <v>52</v>
      </c>
      <c r="G33" s="78">
        <v>0.72916666666666663</v>
      </c>
      <c r="H33" s="82"/>
      <c r="I33" s="78">
        <v>0.35416666666666602</v>
      </c>
      <c r="J33" s="78">
        <v>0.72916666666666663</v>
      </c>
      <c r="K33" s="79">
        <f>IFERROR(VLOOKUP(J33,기준!B:C,2,FALSE),"")-IFERROR(VLOOKUP(I33,기준!D:E,2,FALSE),"")</f>
        <v>0</v>
      </c>
      <c r="L33" s="78">
        <f>IFERROR(VLOOKUP(K33,기준!F:G,2,FALSE),"")</f>
        <v>0.72916666666666663</v>
      </c>
      <c r="M33" s="83">
        <f t="shared" si="1"/>
        <v>0</v>
      </c>
      <c r="N33" s="81" t="s">
        <v>55</v>
      </c>
      <c r="O33" s="78">
        <v>0.72916666666666696</v>
      </c>
      <c r="P33" s="82"/>
      <c r="Q33" s="82">
        <v>0</v>
      </c>
      <c r="R33" s="81" t="s">
        <v>55</v>
      </c>
    </row>
    <row r="34" spans="2:18" x14ac:dyDescent="0.3">
      <c r="B34" s="51">
        <f t="shared" si="0"/>
        <v>28</v>
      </c>
      <c r="C34" s="51" t="s">
        <v>68</v>
      </c>
      <c r="D34" s="51" t="s">
        <v>69</v>
      </c>
      <c r="E34" s="51" t="s">
        <v>57</v>
      </c>
      <c r="F34" s="51" t="s">
        <v>52</v>
      </c>
      <c r="G34" s="78">
        <v>0.72916666666666663</v>
      </c>
      <c r="H34" s="82"/>
      <c r="I34" s="78">
        <v>0.35416666666666602</v>
      </c>
      <c r="J34" s="78">
        <v>0.72916666666666663</v>
      </c>
      <c r="K34" s="79">
        <f>IFERROR(VLOOKUP(J34,기준!B:C,2,FALSE),"")-IFERROR(VLOOKUP(I34,기준!D:E,2,FALSE),"")</f>
        <v>0</v>
      </c>
      <c r="L34" s="78">
        <f>IFERROR(VLOOKUP(K34,기준!F:G,2,FALSE),"")</f>
        <v>0.72916666666666663</v>
      </c>
      <c r="M34" s="83">
        <f t="shared" si="1"/>
        <v>0</v>
      </c>
      <c r="N34" s="81" t="s">
        <v>55</v>
      </c>
      <c r="O34" s="78">
        <v>0.72916666666666696</v>
      </c>
      <c r="P34" s="82"/>
      <c r="Q34" s="82">
        <v>0</v>
      </c>
      <c r="R34" s="81" t="s">
        <v>55</v>
      </c>
    </row>
    <row r="35" spans="2:18" x14ac:dyDescent="0.3">
      <c r="B35" s="51">
        <f t="shared" si="0"/>
        <v>29</v>
      </c>
      <c r="C35" s="51" t="s">
        <v>68</v>
      </c>
      <c r="D35" s="51" t="s">
        <v>69</v>
      </c>
      <c r="E35" s="51" t="s">
        <v>57</v>
      </c>
      <c r="F35" s="51" t="s">
        <v>52</v>
      </c>
      <c r="G35" s="78">
        <v>0.72916666666666663</v>
      </c>
      <c r="H35" s="82"/>
      <c r="I35" s="78">
        <v>0.35416666666666602</v>
      </c>
      <c r="J35" s="78">
        <v>0.72916666666666663</v>
      </c>
      <c r="K35" s="79">
        <f>IFERROR(VLOOKUP(J35,기준!B:C,2,FALSE),"")-IFERROR(VLOOKUP(I35,기준!D:E,2,FALSE),"")</f>
        <v>0</v>
      </c>
      <c r="L35" s="78">
        <f>IFERROR(VLOOKUP(K35,기준!F:G,2,FALSE),"")</f>
        <v>0.72916666666666663</v>
      </c>
      <c r="M35" s="83">
        <f t="shared" si="1"/>
        <v>0</v>
      </c>
      <c r="N35" s="81" t="s">
        <v>55</v>
      </c>
      <c r="O35" s="78">
        <v>0.72916666666666696</v>
      </c>
      <c r="P35" s="82"/>
      <c r="Q35" s="82">
        <v>0</v>
      </c>
      <c r="R35" s="81" t="s">
        <v>55</v>
      </c>
    </row>
    <row r="36" spans="2:18" x14ac:dyDescent="0.3">
      <c r="B36" s="51">
        <f t="shared" si="0"/>
        <v>30</v>
      </c>
      <c r="C36" s="51" t="s">
        <v>68</v>
      </c>
      <c r="D36" s="51" t="s">
        <v>69</v>
      </c>
      <c r="E36" s="51" t="s">
        <v>57</v>
      </c>
      <c r="F36" s="51" t="s">
        <v>52</v>
      </c>
      <c r="G36" s="78">
        <v>0.72916666666666663</v>
      </c>
      <c r="H36" s="82"/>
      <c r="I36" s="78">
        <v>0.35416666666666602</v>
      </c>
      <c r="J36" s="78">
        <v>0.72916666666666663</v>
      </c>
      <c r="K36" s="79">
        <f>IFERROR(VLOOKUP(J36,기준!B:C,2,FALSE),"")-IFERROR(VLOOKUP(I36,기준!D:E,2,FALSE),"")</f>
        <v>0</v>
      </c>
      <c r="L36" s="78">
        <f>IFERROR(VLOOKUP(K36,기준!F:G,2,FALSE),"")</f>
        <v>0.72916666666666663</v>
      </c>
      <c r="M36" s="83">
        <f t="shared" si="1"/>
        <v>0</v>
      </c>
      <c r="N36" s="81" t="s">
        <v>55</v>
      </c>
      <c r="O36" s="78">
        <v>0.72916666666666663</v>
      </c>
      <c r="P36" s="82"/>
      <c r="Q36" s="82">
        <v>0</v>
      </c>
      <c r="R36" s="81" t="s">
        <v>55</v>
      </c>
    </row>
    <row r="37" spans="2:18" x14ac:dyDescent="0.3">
      <c r="B37" s="51">
        <f t="shared" si="0"/>
        <v>31</v>
      </c>
      <c r="C37" s="51" t="s">
        <v>68</v>
      </c>
      <c r="D37" s="51" t="s">
        <v>69</v>
      </c>
      <c r="E37" s="51" t="s">
        <v>57</v>
      </c>
      <c r="F37" s="51" t="s">
        <v>52</v>
      </c>
      <c r="G37" s="78">
        <v>0.72916666666666663</v>
      </c>
      <c r="H37" s="82"/>
      <c r="I37" s="78">
        <v>0.35416666666666602</v>
      </c>
      <c r="J37" s="78">
        <v>0.72916666666666663</v>
      </c>
      <c r="K37" s="79">
        <f>IFERROR(VLOOKUP(J37,기준!B:C,2,FALSE),"")-IFERROR(VLOOKUP(I37,기준!D:E,2,FALSE),"")</f>
        <v>0</v>
      </c>
      <c r="L37" s="78">
        <f>IFERROR(VLOOKUP(K37,기준!F:G,2,FALSE),"")</f>
        <v>0.72916666666666663</v>
      </c>
      <c r="M37" s="83">
        <f t="shared" si="1"/>
        <v>0</v>
      </c>
      <c r="N37" s="81" t="s">
        <v>55</v>
      </c>
      <c r="O37" s="78">
        <v>0.72916666666666663</v>
      </c>
      <c r="P37" s="82"/>
      <c r="Q37" s="82">
        <v>0</v>
      </c>
      <c r="R37" s="81" t="s">
        <v>55</v>
      </c>
    </row>
    <row r="38" spans="2:18" x14ac:dyDescent="0.3">
      <c r="B38" s="51">
        <f t="shared" si="0"/>
        <v>32</v>
      </c>
      <c r="C38" s="51" t="s">
        <v>68</v>
      </c>
      <c r="D38" s="51" t="s">
        <v>69</v>
      </c>
      <c r="E38" s="51" t="s">
        <v>57</v>
      </c>
      <c r="F38" s="51" t="s">
        <v>52</v>
      </c>
      <c r="G38" s="78">
        <v>0.72916666666666663</v>
      </c>
      <c r="H38" s="82"/>
      <c r="I38" s="78">
        <v>0.35416666666666602</v>
      </c>
      <c r="J38" s="78">
        <v>0.72916666666666663</v>
      </c>
      <c r="K38" s="79">
        <f>IFERROR(VLOOKUP(J38,기준!B:C,2,FALSE),"")-IFERROR(VLOOKUP(I38,기준!D:E,2,FALSE),"")</f>
        <v>0</v>
      </c>
      <c r="L38" s="78">
        <f>IFERROR(VLOOKUP(K38,기준!F:G,2,FALSE),"")</f>
        <v>0.72916666666666663</v>
      </c>
      <c r="M38" s="83">
        <f t="shared" si="1"/>
        <v>0</v>
      </c>
      <c r="N38" s="81" t="s">
        <v>55</v>
      </c>
      <c r="O38" s="78">
        <v>0.72916666666666696</v>
      </c>
      <c r="P38" s="82"/>
      <c r="Q38" s="82">
        <v>0</v>
      </c>
      <c r="R38" s="81" t="s">
        <v>55</v>
      </c>
    </row>
    <row r="39" spans="2:18" x14ac:dyDescent="0.3">
      <c r="B39" s="51">
        <f t="shared" si="0"/>
        <v>33</v>
      </c>
      <c r="C39" s="51" t="s">
        <v>68</v>
      </c>
      <c r="D39" s="51" t="s">
        <v>69</v>
      </c>
      <c r="E39" s="51" t="s">
        <v>57</v>
      </c>
      <c r="F39" s="51" t="s">
        <v>52</v>
      </c>
      <c r="G39" s="78">
        <v>0.72916666666666663</v>
      </c>
      <c r="H39" s="82"/>
      <c r="I39" s="78">
        <v>0.35416666666666602</v>
      </c>
      <c r="J39" s="78">
        <v>0.72916666666666663</v>
      </c>
      <c r="K39" s="79">
        <f>IFERROR(VLOOKUP(J39,기준!B:C,2,FALSE),"")-IFERROR(VLOOKUP(I39,기준!D:E,2,FALSE),"")</f>
        <v>0</v>
      </c>
      <c r="L39" s="78">
        <f>IFERROR(VLOOKUP(K39,기준!F:G,2,FALSE),"")</f>
        <v>0.72916666666666663</v>
      </c>
      <c r="M39" s="83">
        <f t="shared" si="1"/>
        <v>0</v>
      </c>
      <c r="N39" s="81" t="s">
        <v>55</v>
      </c>
      <c r="O39" s="78">
        <v>0.72916666666666696</v>
      </c>
      <c r="P39" s="82"/>
      <c r="Q39" s="82">
        <v>0</v>
      </c>
      <c r="R39" s="81" t="s">
        <v>55</v>
      </c>
    </row>
    <row r="40" spans="2:18" x14ac:dyDescent="0.3">
      <c r="B40" s="51">
        <f t="shared" si="0"/>
        <v>34</v>
      </c>
      <c r="C40" s="51" t="s">
        <v>68</v>
      </c>
      <c r="D40" s="51" t="s">
        <v>69</v>
      </c>
      <c r="E40" s="51" t="s">
        <v>57</v>
      </c>
      <c r="F40" s="51" t="s">
        <v>52</v>
      </c>
      <c r="G40" s="78">
        <v>0.72916666666666663</v>
      </c>
      <c r="H40" s="82"/>
      <c r="I40" s="78">
        <v>0.35416666666666602</v>
      </c>
      <c r="J40" s="78">
        <v>0.72916666666666663</v>
      </c>
      <c r="K40" s="79">
        <f>IFERROR(VLOOKUP(J40,기준!B:C,2,FALSE),"")-IFERROR(VLOOKUP(I40,기준!D:E,2,FALSE),"")</f>
        <v>0</v>
      </c>
      <c r="L40" s="78">
        <f>IFERROR(VLOOKUP(K40,기준!F:G,2,FALSE),"")</f>
        <v>0.72916666666666663</v>
      </c>
      <c r="M40" s="83">
        <f t="shared" si="1"/>
        <v>0</v>
      </c>
      <c r="N40" s="81" t="s">
        <v>55</v>
      </c>
      <c r="O40" s="78">
        <v>0.72916666666666696</v>
      </c>
      <c r="P40" s="82"/>
      <c r="Q40" s="82">
        <v>0</v>
      </c>
      <c r="R40" s="81" t="s">
        <v>55</v>
      </c>
    </row>
    <row r="43" spans="2:18" x14ac:dyDescent="0.3">
      <c r="Q43" t="s">
        <v>0</v>
      </c>
    </row>
  </sheetData>
  <mergeCells count="15">
    <mergeCell ref="B4:B6"/>
    <mergeCell ref="C4:C6"/>
    <mergeCell ref="D4:D6"/>
    <mergeCell ref="E4:E6"/>
    <mergeCell ref="F4:F6"/>
    <mergeCell ref="R5:R6"/>
    <mergeCell ref="O4:Q4"/>
    <mergeCell ref="G5:H5"/>
    <mergeCell ref="I5:K5"/>
    <mergeCell ref="L5:L6"/>
    <mergeCell ref="M5:M6"/>
    <mergeCell ref="N5:N6"/>
    <mergeCell ref="O5:P5"/>
    <mergeCell ref="Q5:Q6"/>
    <mergeCell ref="G4:M4"/>
  </mergeCells>
  <phoneticPr fontId="1" type="noConversion"/>
  <dataValidations count="1">
    <dataValidation type="list" allowBlank="1" showInputMessage="1" showErrorMessage="1" sqref="O7:O40" xr:uid="{C2F1FDFA-4A63-4E17-9311-8D7CF99AA49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3283-621B-4961-8F8C-191A8412939F}">
  <sheetPr>
    <tabColor rgb="FFFF0000"/>
  </sheetPr>
  <dimension ref="A1:V43"/>
  <sheetViews>
    <sheetView showGridLines="0" topLeftCell="A15" workbookViewId="0">
      <selection activeCell="B19" sqref="B19:R43"/>
    </sheetView>
  </sheetViews>
  <sheetFormatPr defaultRowHeight="16.5" x14ac:dyDescent="0.3"/>
  <cols>
    <col min="1" max="1" width="1.625" customWidth="1"/>
    <col min="2" max="2" width="15.875" bestFit="1" customWidth="1"/>
    <col min="12" max="12" width="17.375" customWidth="1"/>
    <col min="14" max="14" width="19.375" bestFit="1" customWidth="1"/>
    <col min="18" max="18" width="22.75" bestFit="1" customWidth="1"/>
    <col min="19" max="19" width="10.5" hidden="1" customWidth="1"/>
    <col min="20" max="20" width="8.875" customWidth="1"/>
    <col min="21" max="21" width="10.375" hidden="1" customWidth="1"/>
    <col min="22" max="22" width="9" hidden="1" customWidth="1"/>
  </cols>
  <sheetData>
    <row r="1" spans="1:22" x14ac:dyDescent="0.3">
      <c r="A1" s="17"/>
      <c r="B1" s="17"/>
      <c r="C1" s="17"/>
      <c r="D1" s="17"/>
      <c r="E1" s="17"/>
      <c r="F1" s="17"/>
      <c r="G1" s="18"/>
      <c r="H1" s="19"/>
      <c r="I1" s="19"/>
      <c r="J1" s="18"/>
      <c r="K1" s="19"/>
      <c r="L1" s="19"/>
      <c r="M1" s="19"/>
      <c r="N1" s="17"/>
      <c r="O1" s="18"/>
      <c r="P1" s="19"/>
      <c r="Q1" s="19"/>
      <c r="R1" s="17"/>
      <c r="S1" s="20"/>
    </row>
    <row r="2" spans="1:22" x14ac:dyDescent="0.3">
      <c r="A2" s="17"/>
      <c r="B2" s="21" t="s">
        <v>28</v>
      </c>
      <c r="C2" s="22"/>
      <c r="D2" s="22"/>
      <c r="E2" s="22"/>
      <c r="F2" s="22"/>
      <c r="G2" s="23"/>
      <c r="H2" s="24"/>
      <c r="I2" s="24"/>
      <c r="J2" s="23"/>
      <c r="K2" s="24"/>
      <c r="L2" s="24"/>
      <c r="M2" s="24"/>
      <c r="N2" s="22"/>
      <c r="O2" s="23"/>
      <c r="P2" s="24"/>
      <c r="Q2" s="24"/>
      <c r="R2" s="22"/>
      <c r="S2" s="25"/>
    </row>
    <row r="3" spans="1:22" x14ac:dyDescent="0.3">
      <c r="A3" s="17"/>
      <c r="B3" s="26">
        <v>46102</v>
      </c>
      <c r="C3" s="26"/>
      <c r="D3" s="26"/>
      <c r="E3" s="26"/>
      <c r="F3" s="27" t="s">
        <v>77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2" ht="16.5" customHeight="1" x14ac:dyDescent="0.3">
      <c r="A4" s="17"/>
      <c r="B4" s="105" t="s">
        <v>30</v>
      </c>
      <c r="C4" s="105" t="s">
        <v>31</v>
      </c>
      <c r="D4" s="105" t="s">
        <v>25</v>
      </c>
      <c r="E4" s="105" t="s">
        <v>32</v>
      </c>
      <c r="F4" s="105" t="s">
        <v>33</v>
      </c>
      <c r="G4" s="102" t="s">
        <v>34</v>
      </c>
      <c r="H4" s="103"/>
      <c r="I4" s="103"/>
      <c r="J4" s="103"/>
      <c r="K4" s="103"/>
      <c r="L4" s="103"/>
      <c r="M4" s="104"/>
      <c r="N4" s="28">
        <f>B3-1</f>
        <v>46101</v>
      </c>
      <c r="O4" s="87" t="s">
        <v>35</v>
      </c>
      <c r="P4" s="88"/>
      <c r="Q4" s="89"/>
      <c r="R4" s="29">
        <f>B3</f>
        <v>46102</v>
      </c>
      <c r="S4" s="30" t="s">
        <v>36</v>
      </c>
      <c r="U4" s="31" t="s">
        <v>37</v>
      </c>
      <c r="V4" s="32"/>
    </row>
    <row r="5" spans="1:22" ht="16.5" customHeight="1" x14ac:dyDescent="0.3">
      <c r="A5" s="17"/>
      <c r="B5" s="106"/>
      <c r="C5" s="106"/>
      <c r="D5" s="106"/>
      <c r="E5" s="106"/>
      <c r="F5" s="106"/>
      <c r="G5" s="90" t="s">
        <v>38</v>
      </c>
      <c r="H5" s="91"/>
      <c r="I5" s="92" t="s">
        <v>39</v>
      </c>
      <c r="J5" s="93"/>
      <c r="K5" s="91"/>
      <c r="L5" s="94" t="s">
        <v>40</v>
      </c>
      <c r="M5" s="96" t="s">
        <v>41</v>
      </c>
      <c r="N5" s="94" t="s">
        <v>43</v>
      </c>
      <c r="O5" s="98" t="s">
        <v>44</v>
      </c>
      <c r="P5" s="99"/>
      <c r="Q5" s="100" t="s">
        <v>41</v>
      </c>
      <c r="R5" s="85" t="s">
        <v>42</v>
      </c>
      <c r="S5" s="33"/>
      <c r="U5" s="34"/>
      <c r="V5" s="35"/>
    </row>
    <row r="6" spans="1:22" x14ac:dyDescent="0.3">
      <c r="A6" s="17"/>
      <c r="B6" s="106"/>
      <c r="C6" s="106"/>
      <c r="D6" s="106"/>
      <c r="E6" s="106"/>
      <c r="F6" s="106"/>
      <c r="G6" s="36" t="s">
        <v>45</v>
      </c>
      <c r="H6" s="37"/>
      <c r="I6" s="37" t="s">
        <v>46</v>
      </c>
      <c r="J6" s="37" t="s">
        <v>45</v>
      </c>
      <c r="K6" s="37"/>
      <c r="L6" s="95"/>
      <c r="M6" s="97"/>
      <c r="N6" s="95"/>
      <c r="O6" s="38" t="s">
        <v>45</v>
      </c>
      <c r="P6" s="39" t="s">
        <v>38</v>
      </c>
      <c r="Q6" s="107"/>
      <c r="R6" s="86"/>
      <c r="S6" s="33"/>
      <c r="U6" s="36" t="s">
        <v>47</v>
      </c>
      <c r="V6" s="40" t="s">
        <v>48</v>
      </c>
    </row>
    <row r="7" spans="1:22" x14ac:dyDescent="0.3">
      <c r="A7" s="17"/>
      <c r="B7" s="41">
        <f t="shared" ref="B7:B43" si="0">+ROW()-6</f>
        <v>1</v>
      </c>
      <c r="C7" s="41" t="s">
        <v>49</v>
      </c>
      <c r="D7" s="41" t="s">
        <v>50</v>
      </c>
      <c r="E7" s="41" t="s">
        <v>51</v>
      </c>
      <c r="F7" s="41" t="s">
        <v>52</v>
      </c>
      <c r="G7" s="42">
        <v>0.72916666666666663</v>
      </c>
      <c r="H7" s="43"/>
      <c r="I7" s="44">
        <v>0.35416666666666602</v>
      </c>
      <c r="J7" s="44">
        <v>0.72916666666666663</v>
      </c>
      <c r="K7" s="43">
        <f>IFERROR(VLOOKUP(J7,[1]기준!B:C,2,FALSE),"")-IFERROR(VLOOKUP(I7,[1]기준!D:E,2,FALSE),"")</f>
        <v>0</v>
      </c>
      <c r="L7" s="44">
        <f>IFERROR(VLOOKUP(K7,[1]기준!F:G,2,FALSE),"")</f>
        <v>0.72916666666666663</v>
      </c>
      <c r="M7" s="45">
        <f t="shared" ref="M7:M43" si="1">K7</f>
        <v>0</v>
      </c>
      <c r="N7" s="46" t="s">
        <v>53</v>
      </c>
      <c r="O7" s="42">
        <v>0.72916666666666663</v>
      </c>
      <c r="P7" s="43" t="s">
        <v>54</v>
      </c>
      <c r="Q7" s="47">
        <v>0</v>
      </c>
      <c r="R7" s="46" t="s">
        <v>76</v>
      </c>
      <c r="S7" s="48" t="s">
        <v>55</v>
      </c>
      <c r="U7" s="44">
        <v>0.35416666666666602</v>
      </c>
      <c r="V7" s="49">
        <f>COUNTIF($I$7:$I$19,U7)</f>
        <v>13</v>
      </c>
    </row>
    <row r="8" spans="1:22" x14ac:dyDescent="0.3">
      <c r="A8" s="17"/>
      <c r="B8" s="50">
        <f t="shared" si="0"/>
        <v>2</v>
      </c>
      <c r="C8" s="51" t="s">
        <v>56</v>
      </c>
      <c r="D8" s="50" t="s">
        <v>14</v>
      </c>
      <c r="E8" s="50" t="s">
        <v>57</v>
      </c>
      <c r="F8" s="51" t="s">
        <v>52</v>
      </c>
      <c r="G8" s="44">
        <v>0.72916666666666663</v>
      </c>
      <c r="H8" s="53"/>
      <c r="I8" s="44">
        <v>0.35416666666666602</v>
      </c>
      <c r="J8" s="44">
        <v>0.72916666666666663</v>
      </c>
      <c r="K8" s="43">
        <f>IFERROR(VLOOKUP(J8,[1]기준!B:C,2,FALSE),"")-IFERROR(VLOOKUP(I8,[1]기준!D:E,2,FALSE),"")</f>
        <v>0</v>
      </c>
      <c r="L8" s="44">
        <f>IFERROR(VLOOKUP(K8,[1]기준!F:G,2,FALSE),"")</f>
        <v>0.72916666666666663</v>
      </c>
      <c r="M8" s="52">
        <f t="shared" si="1"/>
        <v>0</v>
      </c>
      <c r="N8" s="46" t="s">
        <v>53</v>
      </c>
      <c r="O8" s="42">
        <v>0.72916666666666663</v>
      </c>
      <c r="P8" s="53"/>
      <c r="Q8" s="54">
        <v>0</v>
      </c>
      <c r="R8" s="46" t="s">
        <v>55</v>
      </c>
      <c r="S8" s="48" t="s">
        <v>55</v>
      </c>
      <c r="U8" s="44">
        <v>0.39583333333333298</v>
      </c>
      <c r="V8" s="49">
        <f>COUNTIF($I$7:$I$19,U8)</f>
        <v>0</v>
      </c>
    </row>
    <row r="9" spans="1:22" x14ac:dyDescent="0.3">
      <c r="A9" s="17"/>
      <c r="B9" s="50">
        <f t="shared" si="0"/>
        <v>3</v>
      </c>
      <c r="C9" s="41" t="s">
        <v>49</v>
      </c>
      <c r="D9" s="50" t="s">
        <v>13</v>
      </c>
      <c r="E9" s="50" t="s">
        <v>57</v>
      </c>
      <c r="F9" s="50" t="s">
        <v>52</v>
      </c>
      <c r="G9" s="42">
        <v>0.72916666666666663</v>
      </c>
      <c r="H9" s="53"/>
      <c r="I9" s="44">
        <v>0.35416666666666602</v>
      </c>
      <c r="J9" s="44">
        <v>0.72916666666666663</v>
      </c>
      <c r="K9" s="43">
        <f>IFERROR(VLOOKUP(J9,[1]기준!B:C,2,FALSE),"")-IFERROR(VLOOKUP(I9,[1]기준!D:E,2,FALSE),"")</f>
        <v>0</v>
      </c>
      <c r="L9" s="44">
        <f>IFERROR(VLOOKUP(K9,[1]기준!F:G,2,FALSE),"")</f>
        <v>0.72916666666666663</v>
      </c>
      <c r="M9" s="52">
        <f t="shared" si="1"/>
        <v>0</v>
      </c>
      <c r="N9" s="46" t="s">
        <v>53</v>
      </c>
      <c r="O9" s="42">
        <v>0.72916666666666663</v>
      </c>
      <c r="P9" s="53" t="s">
        <v>54</v>
      </c>
      <c r="Q9" s="54">
        <v>0</v>
      </c>
      <c r="R9" s="46" t="s">
        <v>55</v>
      </c>
      <c r="S9" s="48" t="s">
        <v>58</v>
      </c>
      <c r="U9" s="44">
        <v>0.41666666666666602</v>
      </c>
      <c r="V9" s="49">
        <f>COUNTIF($I$7:$I$19,U9)</f>
        <v>0</v>
      </c>
    </row>
    <row r="10" spans="1:22" x14ac:dyDescent="0.3">
      <c r="A10" s="17"/>
      <c r="B10" s="50">
        <f t="shared" si="0"/>
        <v>4</v>
      </c>
      <c r="C10" s="41" t="s">
        <v>49</v>
      </c>
      <c r="D10" s="50" t="s">
        <v>59</v>
      </c>
      <c r="E10" s="50" t="s">
        <v>57</v>
      </c>
      <c r="F10" s="50" t="s">
        <v>52</v>
      </c>
      <c r="G10" s="42">
        <v>0.72916666666666663</v>
      </c>
      <c r="H10" s="53"/>
      <c r="I10" s="44">
        <v>0.35416666666666602</v>
      </c>
      <c r="J10" s="44">
        <v>0.72916666666666663</v>
      </c>
      <c r="K10" s="43">
        <f>IFERROR(VLOOKUP(J10,[1]기준!B:C,2,FALSE),"")-IFERROR(VLOOKUP(I10,[1]기준!D:E,2,FALSE),"")</f>
        <v>0</v>
      </c>
      <c r="L10" s="44">
        <f>IFERROR(VLOOKUP(K10,[1]기준!F:G,2,FALSE),"")</f>
        <v>0.72916666666666663</v>
      </c>
      <c r="M10" s="52">
        <f t="shared" si="1"/>
        <v>0</v>
      </c>
      <c r="N10" s="46" t="s">
        <v>53</v>
      </c>
      <c r="O10" s="42">
        <v>0.72916666666666663</v>
      </c>
      <c r="P10" s="53"/>
      <c r="Q10" s="54">
        <v>0</v>
      </c>
      <c r="R10" s="46" t="s">
        <v>55</v>
      </c>
      <c r="S10" s="48"/>
      <c r="U10" s="44">
        <v>0.5625</v>
      </c>
      <c r="V10" s="49">
        <f>COUNTIF($I$7:$I$19,U10)</f>
        <v>0</v>
      </c>
    </row>
    <row r="11" spans="1:22" x14ac:dyDescent="0.3">
      <c r="A11" s="17"/>
      <c r="B11" s="50">
        <f t="shared" si="0"/>
        <v>5</v>
      </c>
      <c r="C11" s="41" t="s">
        <v>49</v>
      </c>
      <c r="D11" s="50" t="s">
        <v>11</v>
      </c>
      <c r="E11" s="50" t="s">
        <v>57</v>
      </c>
      <c r="F11" s="50" t="s">
        <v>52</v>
      </c>
      <c r="G11" s="42">
        <v>0.72916666666666663</v>
      </c>
      <c r="H11" s="55"/>
      <c r="I11" s="44">
        <v>0.35416666666666602</v>
      </c>
      <c r="J11" s="44">
        <v>0.72916666666666663</v>
      </c>
      <c r="K11" s="43">
        <f>IFERROR(VLOOKUP(J11,[1]기준!B:C,2,FALSE),"")-IFERROR(VLOOKUP(I11,[1]기준!D:E,2,FALSE),"")</f>
        <v>0</v>
      </c>
      <c r="L11" s="44">
        <f>IFERROR(VLOOKUP(K11,[1]기준!F:G,2,FALSE),"")</f>
        <v>0.72916666666666663</v>
      </c>
      <c r="M11" s="52">
        <f t="shared" si="1"/>
        <v>0</v>
      </c>
      <c r="N11" s="46" t="s">
        <v>53</v>
      </c>
      <c r="O11" s="42">
        <v>0.72916666666666663</v>
      </c>
      <c r="P11" s="53" t="s">
        <v>54</v>
      </c>
      <c r="Q11" s="54">
        <v>0</v>
      </c>
      <c r="R11" s="46" t="s">
        <v>55</v>
      </c>
      <c r="S11" s="48"/>
      <c r="U11" s="44">
        <v>0.72916666666666663</v>
      </c>
      <c r="V11" s="49">
        <f>COUNTIF($J$7:$J$19,U11)</f>
        <v>13</v>
      </c>
    </row>
    <row r="12" spans="1:22" x14ac:dyDescent="0.3">
      <c r="A12" s="17"/>
      <c r="B12" s="50">
        <f t="shared" si="0"/>
        <v>6</v>
      </c>
      <c r="C12" s="41" t="s">
        <v>49</v>
      </c>
      <c r="D12" s="50" t="s">
        <v>60</v>
      </c>
      <c r="E12" s="50" t="s">
        <v>57</v>
      </c>
      <c r="F12" s="50" t="s">
        <v>52</v>
      </c>
      <c r="G12" s="42">
        <v>0.72916666666666663</v>
      </c>
      <c r="H12" s="53"/>
      <c r="I12" s="44">
        <v>0.35416666666666602</v>
      </c>
      <c r="J12" s="44">
        <v>0.72916666666666663</v>
      </c>
      <c r="K12" s="43">
        <f>IFERROR(VLOOKUP(J12,[1]기준!B:C,2,FALSE),"")-IFERROR(VLOOKUP(I12,[1]기준!D:E,2,FALSE),"")</f>
        <v>0</v>
      </c>
      <c r="L12" s="44">
        <f>IFERROR(VLOOKUP(K12,[1]기준!F:G,2,FALSE),"")</f>
        <v>0.72916666666666663</v>
      </c>
      <c r="M12" s="52">
        <f t="shared" si="1"/>
        <v>0</v>
      </c>
      <c r="N12" s="46" t="s">
        <v>53</v>
      </c>
      <c r="O12" s="42">
        <v>0.72916666666666696</v>
      </c>
      <c r="P12" s="53"/>
      <c r="Q12" s="54">
        <v>0</v>
      </c>
      <c r="R12" s="46" t="s">
        <v>55</v>
      </c>
      <c r="S12" s="48"/>
      <c r="U12" s="44">
        <v>0.75</v>
      </c>
      <c r="V12" s="49">
        <f>COUNTIF($J$7:$J$19,U12)</f>
        <v>0</v>
      </c>
    </row>
    <row r="13" spans="1:22" ht="17.25" customHeight="1" x14ac:dyDescent="0.3">
      <c r="A13" s="17"/>
      <c r="B13" s="50">
        <f t="shared" si="0"/>
        <v>7</v>
      </c>
      <c r="C13" s="41" t="s">
        <v>49</v>
      </c>
      <c r="D13" s="50" t="s">
        <v>61</v>
      </c>
      <c r="E13" s="50" t="s">
        <v>57</v>
      </c>
      <c r="F13" s="50" t="s">
        <v>52</v>
      </c>
      <c r="G13" s="42">
        <v>0.72916666666666663</v>
      </c>
      <c r="H13" s="53"/>
      <c r="I13" s="44">
        <v>0.35416666666666602</v>
      </c>
      <c r="J13" s="44">
        <v>0.72916666666666663</v>
      </c>
      <c r="K13" s="43">
        <f>IFERROR(VLOOKUP(J13,[1]기준!B:C,2,FALSE),"")-IFERROR(VLOOKUP(I13,[1]기준!D:E,2,FALSE),"")</f>
        <v>0</v>
      </c>
      <c r="L13" s="44">
        <f>IFERROR(VLOOKUP(K13,[1]기준!F:G,2,FALSE),"")</f>
        <v>0.72916666666666663</v>
      </c>
      <c r="M13" s="52">
        <f t="shared" si="1"/>
        <v>0</v>
      </c>
      <c r="N13" s="46" t="s">
        <v>53</v>
      </c>
      <c r="O13" s="42">
        <v>0.72916666666666696</v>
      </c>
      <c r="P13" s="53"/>
      <c r="Q13" s="54">
        <v>0</v>
      </c>
      <c r="R13" s="46" t="s">
        <v>55</v>
      </c>
      <c r="S13" s="48"/>
      <c r="U13" s="44">
        <v>0.77083333333333304</v>
      </c>
      <c r="V13" s="49">
        <f>COUNTIF($J$7:$J$19,U13)</f>
        <v>0</v>
      </c>
    </row>
    <row r="14" spans="1:22" x14ac:dyDescent="0.3">
      <c r="A14" s="17"/>
      <c r="B14" s="50">
        <f t="shared" si="0"/>
        <v>8</v>
      </c>
      <c r="C14" s="41" t="s">
        <v>49</v>
      </c>
      <c r="D14" s="50" t="s">
        <v>8</v>
      </c>
      <c r="E14" s="50" t="s">
        <v>57</v>
      </c>
      <c r="F14" s="50" t="s">
        <v>62</v>
      </c>
      <c r="G14" s="42">
        <v>0.72916666666666663</v>
      </c>
      <c r="H14" s="55"/>
      <c r="I14" s="44">
        <v>0.35416666666666602</v>
      </c>
      <c r="J14" s="44">
        <v>0.72916666666666663</v>
      </c>
      <c r="K14" s="43">
        <f>IFERROR(VLOOKUP(J14,[1]기준!B:C,2,FALSE),"")-IFERROR(VLOOKUP(I14,[1]기준!D:E,2,FALSE),"")</f>
        <v>0</v>
      </c>
      <c r="L14" s="44">
        <f>IFERROR(VLOOKUP(K14,[1]기준!F:G,2,FALSE),"")</f>
        <v>0.72916666666666663</v>
      </c>
      <c r="M14" s="52">
        <f t="shared" si="1"/>
        <v>0</v>
      </c>
      <c r="N14" s="46" t="s">
        <v>53</v>
      </c>
      <c r="O14" s="42">
        <v>0.72916666666666696</v>
      </c>
      <c r="P14" s="53"/>
      <c r="Q14" s="54">
        <v>0</v>
      </c>
      <c r="R14" s="46" t="s">
        <v>55</v>
      </c>
      <c r="S14" s="48"/>
      <c r="U14" s="44">
        <v>0.79166666666666696</v>
      </c>
      <c r="V14" s="49">
        <f>COUNTIF($J$7:$J$19,U14)</f>
        <v>0</v>
      </c>
    </row>
    <row r="15" spans="1:22" x14ac:dyDescent="0.3">
      <c r="A15" s="17"/>
      <c r="B15" s="50">
        <f t="shared" si="0"/>
        <v>9</v>
      </c>
      <c r="C15" s="51" t="s">
        <v>56</v>
      </c>
      <c r="D15" s="50" t="s">
        <v>7</v>
      </c>
      <c r="E15" s="50" t="s">
        <v>57</v>
      </c>
      <c r="F15" s="50" t="s">
        <v>62</v>
      </c>
      <c r="G15" s="42">
        <v>0.72916666666666663</v>
      </c>
      <c r="H15" s="55"/>
      <c r="I15" s="44">
        <v>0.35416666666666602</v>
      </c>
      <c r="J15" s="44">
        <v>0.72916666666666663</v>
      </c>
      <c r="K15" s="43">
        <f>IFERROR(VLOOKUP(J15,[1]기준!B:C,2,FALSE),"")-IFERROR(VLOOKUP(I15,[1]기준!D:E,2,FALSE),"")</f>
        <v>0</v>
      </c>
      <c r="L15" s="44">
        <f>IFERROR(VLOOKUP(K15,[1]기준!F:G,2,FALSE),"")</f>
        <v>0.72916666666666663</v>
      </c>
      <c r="M15" s="52">
        <f t="shared" si="1"/>
        <v>0</v>
      </c>
      <c r="N15" s="46" t="s">
        <v>78</v>
      </c>
      <c r="O15" s="42">
        <v>0.72916666666666696</v>
      </c>
      <c r="P15" s="53"/>
      <c r="Q15" s="54">
        <v>0</v>
      </c>
      <c r="R15" s="46" t="s">
        <v>55</v>
      </c>
      <c r="S15" s="48"/>
      <c r="U15" s="44"/>
      <c r="V15" s="49"/>
    </row>
    <row r="16" spans="1:22" x14ac:dyDescent="0.3">
      <c r="A16" s="17"/>
      <c r="B16" s="50">
        <f t="shared" si="0"/>
        <v>10</v>
      </c>
      <c r="C16" s="51" t="s">
        <v>63</v>
      </c>
      <c r="D16" s="50" t="s">
        <v>5</v>
      </c>
      <c r="E16" s="50" t="s">
        <v>64</v>
      </c>
      <c r="F16" s="50" t="s">
        <v>65</v>
      </c>
      <c r="G16" s="42">
        <v>0.72916666666666663</v>
      </c>
      <c r="H16" s="53"/>
      <c r="I16" s="44">
        <v>0.35416666666666602</v>
      </c>
      <c r="J16" s="44">
        <v>0.72916666666666663</v>
      </c>
      <c r="K16" s="43">
        <f>IFERROR(VLOOKUP(J16,[1]기준!B:C,2,FALSE),"")-IFERROR(VLOOKUP(I16,[1]기준!D:E,2,FALSE),"")</f>
        <v>0</v>
      </c>
      <c r="L16" s="44">
        <f>IFERROR(VLOOKUP(K16,[1]기준!F:G,2,FALSE),"")</f>
        <v>0.72916666666666663</v>
      </c>
      <c r="M16" s="52">
        <f t="shared" si="1"/>
        <v>0</v>
      </c>
      <c r="N16" s="46" t="s">
        <v>53</v>
      </c>
      <c r="O16" s="42">
        <v>0.72916666666666663</v>
      </c>
      <c r="P16" s="53" t="s">
        <v>54</v>
      </c>
      <c r="Q16" s="54">
        <v>0</v>
      </c>
      <c r="R16" s="46" t="s">
        <v>55</v>
      </c>
      <c r="S16" s="48" t="s">
        <v>55</v>
      </c>
      <c r="U16" s="44">
        <v>0.8125</v>
      </c>
      <c r="V16" s="49">
        <f t="shared" ref="V16:V24" si="2">COUNTIF($J$7:$J$19,U16)</f>
        <v>0</v>
      </c>
    </row>
    <row r="17" spans="1:22" x14ac:dyDescent="0.3">
      <c r="A17" s="17"/>
      <c r="B17" s="50">
        <f t="shared" si="0"/>
        <v>11</v>
      </c>
      <c r="C17" s="41" t="s">
        <v>49</v>
      </c>
      <c r="D17" s="50" t="s">
        <v>66</v>
      </c>
      <c r="E17" s="50" t="s">
        <v>64</v>
      </c>
      <c r="F17" s="50" t="s">
        <v>65</v>
      </c>
      <c r="G17" s="42">
        <v>0.72916666666666663</v>
      </c>
      <c r="H17" s="55"/>
      <c r="I17" s="44">
        <v>0.35416666666666602</v>
      </c>
      <c r="J17" s="44">
        <v>0.72916666666666663</v>
      </c>
      <c r="K17" s="43">
        <f>IFERROR(VLOOKUP(J17,[1]기준!B:C,2,FALSE),"")-IFERROR(VLOOKUP(I17,[1]기준!D:E,2,FALSE),"")</f>
        <v>0</v>
      </c>
      <c r="L17" s="44">
        <f>IFERROR(VLOOKUP(K17,[1]기준!F:G,2,FALSE),"")</f>
        <v>0.72916666666666663</v>
      </c>
      <c r="M17" s="52">
        <f t="shared" si="1"/>
        <v>0</v>
      </c>
      <c r="N17" s="46" t="s">
        <v>53</v>
      </c>
      <c r="O17" s="42">
        <v>0.72916666666666663</v>
      </c>
      <c r="P17" s="53" t="s">
        <v>54</v>
      </c>
      <c r="Q17" s="54">
        <v>0</v>
      </c>
      <c r="R17" s="46" t="s">
        <v>55</v>
      </c>
      <c r="S17" s="48" t="s">
        <v>58</v>
      </c>
      <c r="U17" s="42">
        <v>0.83333333333333337</v>
      </c>
      <c r="V17" s="49">
        <f t="shared" si="2"/>
        <v>0</v>
      </c>
    </row>
    <row r="18" spans="1:22" x14ac:dyDescent="0.3">
      <c r="A18" s="17"/>
      <c r="B18" s="50">
        <f t="shared" si="0"/>
        <v>12</v>
      </c>
      <c r="C18" s="50" t="s">
        <v>67</v>
      </c>
      <c r="D18" s="50" t="s">
        <v>2</v>
      </c>
      <c r="E18" s="50" t="s">
        <v>57</v>
      </c>
      <c r="F18" s="50" t="s">
        <v>52</v>
      </c>
      <c r="G18" s="42">
        <v>0.72916666666666663</v>
      </c>
      <c r="H18" s="55"/>
      <c r="I18" s="44">
        <v>0.35416666666666602</v>
      </c>
      <c r="J18" s="44">
        <v>0.72916666666666663</v>
      </c>
      <c r="K18" s="43">
        <f>IFERROR(VLOOKUP(J18,[1]기준!B:C,2,FALSE),"")-IFERROR(VLOOKUP(I18,[1]기준!D:E,2,FALSE),"")</f>
        <v>0</v>
      </c>
      <c r="L18" s="44">
        <f>IFERROR(VLOOKUP(K18,[1]기준!F:G,2,FALSE),"")</f>
        <v>0.72916666666666663</v>
      </c>
      <c r="M18" s="52">
        <f t="shared" si="1"/>
        <v>0</v>
      </c>
      <c r="N18" s="46" t="s">
        <v>53</v>
      </c>
      <c r="O18" s="42">
        <v>0.72916666666666696</v>
      </c>
      <c r="P18" s="53"/>
      <c r="Q18" s="54">
        <v>0</v>
      </c>
      <c r="R18" s="46" t="s">
        <v>55</v>
      </c>
      <c r="S18" s="48"/>
      <c r="U18" s="44">
        <v>0.875000000000001</v>
      </c>
      <c r="V18" s="49">
        <f t="shared" si="2"/>
        <v>0</v>
      </c>
    </row>
    <row r="19" spans="1:22" x14ac:dyDescent="0.3">
      <c r="A19" s="17"/>
      <c r="B19" s="56">
        <f t="shared" si="0"/>
        <v>13</v>
      </c>
      <c r="C19" s="56" t="s">
        <v>68</v>
      </c>
      <c r="D19" s="56" t="s">
        <v>69</v>
      </c>
      <c r="E19" s="56" t="s">
        <v>57</v>
      </c>
      <c r="F19" s="56" t="s">
        <v>52</v>
      </c>
      <c r="G19" s="57">
        <v>0.72916666666666663</v>
      </c>
      <c r="H19" s="58"/>
      <c r="I19" s="59">
        <v>0.35416666666666602</v>
      </c>
      <c r="J19" s="59">
        <v>0.72916666666666663</v>
      </c>
      <c r="K19" s="60">
        <f>IFERROR(VLOOKUP(J19,[1]기준!B:C,2,FALSE),"")-IFERROR(VLOOKUP(I19,[1]기준!D:E,2,FALSE),"")</f>
        <v>0</v>
      </c>
      <c r="L19" s="59">
        <f>IFERROR(VLOOKUP(K19,[1]기준!F:G,2,FALSE),"")</f>
        <v>0.72916666666666663</v>
      </c>
      <c r="M19" s="61">
        <f t="shared" si="1"/>
        <v>0</v>
      </c>
      <c r="N19" s="62" t="s">
        <v>53</v>
      </c>
      <c r="O19" s="57">
        <v>0.72916666666666696</v>
      </c>
      <c r="P19" s="58"/>
      <c r="Q19" s="63">
        <v>0</v>
      </c>
      <c r="R19" s="62" t="s">
        <v>55</v>
      </c>
      <c r="S19" s="48"/>
      <c r="U19" s="44">
        <v>0.89583333333333404</v>
      </c>
      <c r="V19" s="49">
        <f t="shared" si="2"/>
        <v>0</v>
      </c>
    </row>
    <row r="20" spans="1:22" x14ac:dyDescent="0.3">
      <c r="B20" s="51">
        <f t="shared" si="0"/>
        <v>14</v>
      </c>
      <c r="C20" s="77" t="s">
        <v>49</v>
      </c>
      <c r="D20" s="51" t="s">
        <v>66</v>
      </c>
      <c r="E20" s="51" t="s">
        <v>64</v>
      </c>
      <c r="F20" s="51" t="s">
        <v>65</v>
      </c>
      <c r="G20" s="78">
        <v>0.72916666666666663</v>
      </c>
      <c r="H20" s="84"/>
      <c r="I20" s="78">
        <v>0.35416666666666602</v>
      </c>
      <c r="J20" s="78">
        <v>0.72916666666666663</v>
      </c>
      <c r="K20" s="79">
        <f>IFERROR(VLOOKUP(J20,기준!B:C,2,FALSE),"")-IFERROR(VLOOKUP(I20,기준!D:E,2,FALSE),"")</f>
        <v>0</v>
      </c>
      <c r="L20" s="78">
        <f>IFERROR(VLOOKUP(K20,기준!F:G,2,FALSE),"")</f>
        <v>0.72916666666666663</v>
      </c>
      <c r="M20" s="83">
        <f t="shared" si="1"/>
        <v>0</v>
      </c>
      <c r="N20" s="46" t="s">
        <v>53</v>
      </c>
      <c r="O20" s="78">
        <v>0.72916666666666663</v>
      </c>
      <c r="P20" s="82" t="s">
        <v>54</v>
      </c>
      <c r="Q20" s="82">
        <v>0</v>
      </c>
      <c r="R20" s="81" t="s">
        <v>55</v>
      </c>
      <c r="U20" s="44">
        <v>1</v>
      </c>
      <c r="V20" s="49">
        <f t="shared" si="2"/>
        <v>0</v>
      </c>
    </row>
    <row r="21" spans="1:22" x14ac:dyDescent="0.3">
      <c r="B21" s="51">
        <f t="shared" si="0"/>
        <v>15</v>
      </c>
      <c r="C21" s="51" t="s">
        <v>67</v>
      </c>
      <c r="D21" s="51" t="s">
        <v>2</v>
      </c>
      <c r="E21" s="51" t="s">
        <v>57</v>
      </c>
      <c r="F21" s="51" t="s">
        <v>52</v>
      </c>
      <c r="G21" s="78">
        <v>0.72916666666666663</v>
      </c>
      <c r="H21" s="84"/>
      <c r="I21" s="78">
        <v>0.35416666666666602</v>
      </c>
      <c r="J21" s="78">
        <v>0.72916666666666663</v>
      </c>
      <c r="K21" s="79">
        <f>IFERROR(VLOOKUP(J21,기준!B:C,2,FALSE),"")-IFERROR(VLOOKUP(I21,기준!D:E,2,FALSE),"")</f>
        <v>0</v>
      </c>
      <c r="L21" s="78">
        <f>IFERROR(VLOOKUP(K21,기준!F:G,2,FALSE),"")</f>
        <v>0.72916666666666663</v>
      </c>
      <c r="M21" s="83">
        <f t="shared" si="1"/>
        <v>0</v>
      </c>
      <c r="N21" s="46" t="s">
        <v>53</v>
      </c>
      <c r="O21" s="78">
        <v>0.72916666666666663</v>
      </c>
      <c r="P21" s="82"/>
      <c r="Q21" s="82">
        <v>0</v>
      </c>
      <c r="R21" s="81" t="s">
        <v>55</v>
      </c>
      <c r="U21" s="44">
        <v>1.0208333333333299</v>
      </c>
      <c r="V21" s="49">
        <f t="shared" si="2"/>
        <v>0</v>
      </c>
    </row>
    <row r="22" spans="1:22" x14ac:dyDescent="0.3">
      <c r="B22" s="51">
        <f t="shared" si="0"/>
        <v>16</v>
      </c>
      <c r="C22" s="51" t="s">
        <v>68</v>
      </c>
      <c r="D22" s="51" t="s">
        <v>69</v>
      </c>
      <c r="E22" s="51" t="s">
        <v>57</v>
      </c>
      <c r="F22" s="51" t="s">
        <v>52</v>
      </c>
      <c r="G22" s="78">
        <v>0.72916666666666663</v>
      </c>
      <c r="H22" s="82"/>
      <c r="I22" s="78">
        <v>0.35416666666666602</v>
      </c>
      <c r="J22" s="78">
        <v>0.72916666666666663</v>
      </c>
      <c r="K22" s="79">
        <f>IFERROR(VLOOKUP(J22,기준!B:C,2,FALSE),"")-IFERROR(VLOOKUP(I22,기준!D:E,2,FALSE),"")</f>
        <v>0</v>
      </c>
      <c r="L22" s="78">
        <f>IFERROR(VLOOKUP(K22,기준!F:G,2,FALSE),"")</f>
        <v>0.72916666666666663</v>
      </c>
      <c r="M22" s="83">
        <f t="shared" si="1"/>
        <v>0</v>
      </c>
      <c r="N22" s="46" t="s">
        <v>53</v>
      </c>
      <c r="O22" s="78">
        <v>0.72916666666666663</v>
      </c>
      <c r="P22" s="82"/>
      <c r="Q22" s="82">
        <v>0</v>
      </c>
      <c r="R22" s="81" t="s">
        <v>55</v>
      </c>
      <c r="U22" s="44">
        <v>1.0416666666666701</v>
      </c>
      <c r="V22" s="49">
        <f t="shared" si="2"/>
        <v>0</v>
      </c>
    </row>
    <row r="23" spans="1:22" x14ac:dyDescent="0.3">
      <c r="B23" s="51">
        <f t="shared" si="0"/>
        <v>17</v>
      </c>
      <c r="C23" s="51" t="s">
        <v>68</v>
      </c>
      <c r="D23" s="51" t="s">
        <v>69</v>
      </c>
      <c r="E23" s="51" t="s">
        <v>57</v>
      </c>
      <c r="F23" s="51" t="s">
        <v>52</v>
      </c>
      <c r="G23" s="78">
        <v>0.72916666666666663</v>
      </c>
      <c r="H23" s="82"/>
      <c r="I23" s="78">
        <v>0.35416666666666602</v>
      </c>
      <c r="J23" s="78">
        <v>0.72916666666666663</v>
      </c>
      <c r="K23" s="79">
        <f>IFERROR(VLOOKUP(J23,기준!B:C,2,FALSE),"")-IFERROR(VLOOKUP(I23,기준!D:E,2,FALSE),"")</f>
        <v>0</v>
      </c>
      <c r="L23" s="78">
        <f>IFERROR(VLOOKUP(K23,기준!F:G,2,FALSE),"")</f>
        <v>0.72916666666666663</v>
      </c>
      <c r="M23" s="83">
        <f t="shared" si="1"/>
        <v>0</v>
      </c>
      <c r="N23" s="46" t="s">
        <v>53</v>
      </c>
      <c r="O23" s="78">
        <v>0.72916666666666696</v>
      </c>
      <c r="P23" s="82"/>
      <c r="Q23" s="82">
        <v>0</v>
      </c>
      <c r="R23" s="81" t="s">
        <v>55</v>
      </c>
      <c r="U23" s="44">
        <v>1.0625</v>
      </c>
      <c r="V23" s="49">
        <f t="shared" si="2"/>
        <v>0</v>
      </c>
    </row>
    <row r="24" spans="1:22" x14ac:dyDescent="0.3">
      <c r="B24" s="51">
        <f t="shared" si="0"/>
        <v>18</v>
      </c>
      <c r="C24" s="51" t="s">
        <v>68</v>
      </c>
      <c r="D24" s="51" t="s">
        <v>69</v>
      </c>
      <c r="E24" s="51" t="s">
        <v>57</v>
      </c>
      <c r="F24" s="51" t="s">
        <v>52</v>
      </c>
      <c r="G24" s="78">
        <v>0.72916666666666663</v>
      </c>
      <c r="H24" s="82"/>
      <c r="I24" s="78">
        <v>0.35416666666666602</v>
      </c>
      <c r="J24" s="78">
        <v>0.72916666666666663</v>
      </c>
      <c r="K24" s="79">
        <f>IFERROR(VLOOKUP(J24,기준!B:C,2,FALSE),"")-IFERROR(VLOOKUP(I24,기준!D:E,2,FALSE),"")</f>
        <v>0</v>
      </c>
      <c r="L24" s="78">
        <f>IFERROR(VLOOKUP(K24,기준!F:G,2,FALSE),"")</f>
        <v>0.72916666666666663</v>
      </c>
      <c r="M24" s="83">
        <f t="shared" si="1"/>
        <v>0</v>
      </c>
      <c r="N24" s="46" t="s">
        <v>53</v>
      </c>
      <c r="O24" s="78">
        <v>0.72916666666666696</v>
      </c>
      <c r="P24" s="82"/>
      <c r="Q24" s="82">
        <v>0</v>
      </c>
      <c r="R24" s="81" t="s">
        <v>55</v>
      </c>
      <c r="U24" s="44">
        <v>1.0833333333333299</v>
      </c>
      <c r="V24" s="64">
        <f t="shared" si="2"/>
        <v>0</v>
      </c>
    </row>
    <row r="25" spans="1:22" x14ac:dyDescent="0.3">
      <c r="B25" s="51">
        <f t="shared" si="0"/>
        <v>19</v>
      </c>
      <c r="C25" s="51" t="s">
        <v>68</v>
      </c>
      <c r="D25" s="51" t="s">
        <v>69</v>
      </c>
      <c r="E25" s="51" t="s">
        <v>57</v>
      </c>
      <c r="F25" s="51" t="s">
        <v>52</v>
      </c>
      <c r="G25" s="78">
        <v>0.72916666666666663</v>
      </c>
      <c r="H25" s="82"/>
      <c r="I25" s="78">
        <v>0.35416666666666602</v>
      </c>
      <c r="J25" s="78">
        <v>0.72916666666666663</v>
      </c>
      <c r="K25" s="79">
        <f>IFERROR(VLOOKUP(J25,기준!B:C,2,FALSE),"")-IFERROR(VLOOKUP(I25,기준!D:E,2,FALSE),"")</f>
        <v>0</v>
      </c>
      <c r="L25" s="78">
        <f>IFERROR(VLOOKUP(K25,기준!F:G,2,FALSE),"")</f>
        <v>0.72916666666666663</v>
      </c>
      <c r="M25" s="83">
        <f t="shared" si="1"/>
        <v>0</v>
      </c>
      <c r="N25" s="46" t="s">
        <v>53</v>
      </c>
      <c r="O25" s="78">
        <v>0.72916666666666696</v>
      </c>
      <c r="P25" s="82"/>
      <c r="Q25" s="82">
        <v>0</v>
      </c>
      <c r="R25" s="81" t="s">
        <v>55</v>
      </c>
    </row>
    <row r="26" spans="1:22" x14ac:dyDescent="0.3">
      <c r="B26" s="51">
        <f t="shared" si="0"/>
        <v>20</v>
      </c>
      <c r="C26" s="51" t="s">
        <v>68</v>
      </c>
      <c r="D26" s="51" t="s">
        <v>69</v>
      </c>
      <c r="E26" s="51" t="s">
        <v>57</v>
      </c>
      <c r="F26" s="51" t="s">
        <v>52</v>
      </c>
      <c r="G26" s="78">
        <v>0.72916666666666663</v>
      </c>
      <c r="H26" s="82"/>
      <c r="I26" s="78">
        <v>0.35416666666666602</v>
      </c>
      <c r="J26" s="78">
        <v>0.72916666666666663</v>
      </c>
      <c r="K26" s="79">
        <f>IFERROR(VLOOKUP(J26,기준!B:C,2,FALSE),"")-IFERROR(VLOOKUP(I26,기준!D:E,2,FALSE),"")</f>
        <v>0</v>
      </c>
      <c r="L26" s="78">
        <f>IFERROR(VLOOKUP(K26,기준!F:G,2,FALSE),"")</f>
        <v>0.72916666666666663</v>
      </c>
      <c r="M26" s="83">
        <f t="shared" si="1"/>
        <v>0</v>
      </c>
      <c r="N26" s="46" t="s">
        <v>53</v>
      </c>
      <c r="O26" s="78">
        <v>0.72916666666666696</v>
      </c>
      <c r="P26" s="82"/>
      <c r="Q26" s="82">
        <v>0</v>
      </c>
      <c r="R26" s="81" t="s">
        <v>55</v>
      </c>
    </row>
    <row r="27" spans="1:22" x14ac:dyDescent="0.3">
      <c r="B27" s="51">
        <f t="shared" si="0"/>
        <v>21</v>
      </c>
      <c r="C27" s="51" t="s">
        <v>68</v>
      </c>
      <c r="D27" s="51" t="s">
        <v>69</v>
      </c>
      <c r="E27" s="51" t="s">
        <v>57</v>
      </c>
      <c r="F27" s="51" t="s">
        <v>52</v>
      </c>
      <c r="G27" s="78">
        <v>0.72916666666666663</v>
      </c>
      <c r="H27" s="82"/>
      <c r="I27" s="78">
        <v>0.35416666666666602</v>
      </c>
      <c r="J27" s="78">
        <v>0.72916666666666663</v>
      </c>
      <c r="K27" s="79">
        <f>IFERROR(VLOOKUP(J27,기준!B:C,2,FALSE),"")-IFERROR(VLOOKUP(I27,기준!D:E,2,FALSE),"")</f>
        <v>0</v>
      </c>
      <c r="L27" s="78">
        <f>IFERROR(VLOOKUP(K27,기준!F:G,2,FALSE),"")</f>
        <v>0.72916666666666663</v>
      </c>
      <c r="M27" s="83">
        <f t="shared" si="1"/>
        <v>0</v>
      </c>
      <c r="N27" s="46" t="s">
        <v>53</v>
      </c>
      <c r="O27" s="78">
        <v>0.72916666666666663</v>
      </c>
      <c r="P27" s="82"/>
      <c r="Q27" s="82">
        <v>0</v>
      </c>
      <c r="R27" s="81" t="s">
        <v>55</v>
      </c>
    </row>
    <row r="28" spans="1:22" x14ac:dyDescent="0.3">
      <c r="B28" s="51">
        <f t="shared" si="0"/>
        <v>22</v>
      </c>
      <c r="C28" s="51" t="s">
        <v>68</v>
      </c>
      <c r="D28" s="51" t="s">
        <v>69</v>
      </c>
      <c r="E28" s="51" t="s">
        <v>57</v>
      </c>
      <c r="F28" s="51" t="s">
        <v>52</v>
      </c>
      <c r="G28" s="78">
        <v>0.72916666666666663</v>
      </c>
      <c r="H28" s="82"/>
      <c r="I28" s="78">
        <v>0.35416666666666602</v>
      </c>
      <c r="J28" s="78">
        <v>0.72916666666666663</v>
      </c>
      <c r="K28" s="79">
        <f>IFERROR(VLOOKUP(J28,기준!B:C,2,FALSE),"")-IFERROR(VLOOKUP(I28,기준!D:E,2,FALSE),"")</f>
        <v>0</v>
      </c>
      <c r="L28" s="78">
        <f>IFERROR(VLOOKUP(K28,기준!F:G,2,FALSE),"")</f>
        <v>0.72916666666666663</v>
      </c>
      <c r="M28" s="83">
        <f t="shared" si="1"/>
        <v>0</v>
      </c>
      <c r="N28" s="46" t="s">
        <v>53</v>
      </c>
      <c r="O28" s="78">
        <v>0.72916666666666663</v>
      </c>
      <c r="P28" s="82"/>
      <c r="Q28" s="82">
        <v>0</v>
      </c>
      <c r="R28" s="81" t="s">
        <v>55</v>
      </c>
    </row>
    <row r="29" spans="1:22" x14ac:dyDescent="0.3">
      <c r="B29" s="51">
        <f t="shared" si="0"/>
        <v>23</v>
      </c>
      <c r="C29" s="51" t="s">
        <v>68</v>
      </c>
      <c r="D29" s="51" t="s">
        <v>69</v>
      </c>
      <c r="E29" s="51" t="s">
        <v>57</v>
      </c>
      <c r="F29" s="51" t="s">
        <v>52</v>
      </c>
      <c r="G29" s="78">
        <v>0.72916666666666663</v>
      </c>
      <c r="H29" s="82"/>
      <c r="I29" s="78">
        <v>0.35416666666666602</v>
      </c>
      <c r="J29" s="78">
        <v>0.72916666666666663</v>
      </c>
      <c r="K29" s="79">
        <f>IFERROR(VLOOKUP(J29,기준!B:C,2,FALSE),"")-IFERROR(VLOOKUP(I29,기준!D:E,2,FALSE),"")</f>
        <v>0</v>
      </c>
      <c r="L29" s="78">
        <f>IFERROR(VLOOKUP(K29,기준!F:G,2,FALSE),"")</f>
        <v>0.72916666666666663</v>
      </c>
      <c r="M29" s="83">
        <f t="shared" si="1"/>
        <v>0</v>
      </c>
      <c r="N29" s="46" t="s">
        <v>53</v>
      </c>
      <c r="O29" s="78">
        <v>0.72916666666666696</v>
      </c>
      <c r="P29" s="82"/>
      <c r="Q29" s="82">
        <v>0</v>
      </c>
      <c r="R29" s="81" t="s">
        <v>55</v>
      </c>
    </row>
    <row r="30" spans="1:22" x14ac:dyDescent="0.3">
      <c r="B30" s="51">
        <f t="shared" si="0"/>
        <v>24</v>
      </c>
      <c r="C30" s="51" t="s">
        <v>68</v>
      </c>
      <c r="D30" s="51" t="s">
        <v>69</v>
      </c>
      <c r="E30" s="51" t="s">
        <v>57</v>
      </c>
      <c r="F30" s="51" t="s">
        <v>52</v>
      </c>
      <c r="G30" s="78">
        <v>0.72916666666666663</v>
      </c>
      <c r="H30" s="82"/>
      <c r="I30" s="78">
        <v>0.35416666666666602</v>
      </c>
      <c r="J30" s="78">
        <v>0.72916666666666663</v>
      </c>
      <c r="K30" s="79">
        <f>IFERROR(VLOOKUP(J30,기준!B:C,2,FALSE),"")-IFERROR(VLOOKUP(I30,기준!D:E,2,FALSE),"")</f>
        <v>0</v>
      </c>
      <c r="L30" s="78">
        <f>IFERROR(VLOOKUP(K30,기준!F:G,2,FALSE),"")</f>
        <v>0.72916666666666663</v>
      </c>
      <c r="M30" s="83">
        <f t="shared" si="1"/>
        <v>0</v>
      </c>
      <c r="N30" s="46" t="s">
        <v>53</v>
      </c>
      <c r="O30" s="78">
        <v>0.72916666666666696</v>
      </c>
      <c r="P30" s="82"/>
      <c r="Q30" s="82">
        <v>0</v>
      </c>
      <c r="R30" s="81" t="s">
        <v>55</v>
      </c>
    </row>
    <row r="31" spans="1:22" x14ac:dyDescent="0.3">
      <c r="B31" s="51">
        <f t="shared" si="0"/>
        <v>25</v>
      </c>
      <c r="C31" s="51" t="s">
        <v>68</v>
      </c>
      <c r="D31" s="51" t="s">
        <v>69</v>
      </c>
      <c r="E31" s="51" t="s">
        <v>57</v>
      </c>
      <c r="F31" s="51" t="s">
        <v>52</v>
      </c>
      <c r="G31" s="78">
        <v>0.72916666666666663</v>
      </c>
      <c r="H31" s="82"/>
      <c r="I31" s="78">
        <v>0.35416666666666602</v>
      </c>
      <c r="J31" s="78">
        <v>0.72916666666666663</v>
      </c>
      <c r="K31" s="79">
        <f>IFERROR(VLOOKUP(J31,기준!B:C,2,FALSE),"")-IFERROR(VLOOKUP(I31,기준!D:E,2,FALSE),"")</f>
        <v>0</v>
      </c>
      <c r="L31" s="78">
        <f>IFERROR(VLOOKUP(K31,기준!F:G,2,FALSE),"")</f>
        <v>0.72916666666666663</v>
      </c>
      <c r="M31" s="83">
        <f t="shared" si="1"/>
        <v>0</v>
      </c>
      <c r="N31" s="46" t="s">
        <v>53</v>
      </c>
      <c r="O31" s="78">
        <v>0.72916666666666696</v>
      </c>
      <c r="P31" s="82"/>
      <c r="Q31" s="82">
        <v>0</v>
      </c>
      <c r="R31" s="81" t="s">
        <v>55</v>
      </c>
    </row>
    <row r="32" spans="1:22" x14ac:dyDescent="0.3">
      <c r="B32" s="51">
        <f t="shared" si="0"/>
        <v>26</v>
      </c>
      <c r="C32" s="51" t="s">
        <v>68</v>
      </c>
      <c r="D32" s="51" t="s">
        <v>69</v>
      </c>
      <c r="E32" s="51" t="s">
        <v>57</v>
      </c>
      <c r="F32" s="51" t="s">
        <v>52</v>
      </c>
      <c r="G32" s="78">
        <v>0.72916666666666663</v>
      </c>
      <c r="H32" s="82"/>
      <c r="I32" s="78">
        <v>0.35416666666666602</v>
      </c>
      <c r="J32" s="78">
        <v>0.72916666666666663</v>
      </c>
      <c r="K32" s="79">
        <f>IFERROR(VLOOKUP(J32,기준!B:C,2,FALSE),"")-IFERROR(VLOOKUP(I32,기준!D:E,2,FALSE),"")</f>
        <v>0</v>
      </c>
      <c r="L32" s="78">
        <f>IFERROR(VLOOKUP(K32,기준!F:G,2,FALSE),"")</f>
        <v>0.72916666666666663</v>
      </c>
      <c r="M32" s="83">
        <f t="shared" si="1"/>
        <v>0</v>
      </c>
      <c r="N32" s="46" t="s">
        <v>53</v>
      </c>
      <c r="O32" s="78">
        <v>0.72916666666666696</v>
      </c>
      <c r="P32" s="82"/>
      <c r="Q32" s="82">
        <v>0</v>
      </c>
      <c r="R32" s="81" t="s">
        <v>55</v>
      </c>
    </row>
    <row r="33" spans="2:18" x14ac:dyDescent="0.3">
      <c r="B33" s="51">
        <f t="shared" si="0"/>
        <v>27</v>
      </c>
      <c r="C33" s="51" t="s">
        <v>68</v>
      </c>
      <c r="D33" s="51" t="s">
        <v>69</v>
      </c>
      <c r="E33" s="51" t="s">
        <v>57</v>
      </c>
      <c r="F33" s="51" t="s">
        <v>52</v>
      </c>
      <c r="G33" s="78">
        <v>0.72916666666666663</v>
      </c>
      <c r="H33" s="82"/>
      <c r="I33" s="78">
        <v>0.35416666666666602</v>
      </c>
      <c r="J33" s="78">
        <v>0.72916666666666663</v>
      </c>
      <c r="K33" s="79">
        <f>IFERROR(VLOOKUP(J33,기준!B:C,2,FALSE),"")-IFERROR(VLOOKUP(I33,기준!D:E,2,FALSE),"")</f>
        <v>0</v>
      </c>
      <c r="L33" s="78">
        <f>IFERROR(VLOOKUP(K33,기준!F:G,2,FALSE),"")</f>
        <v>0.72916666666666663</v>
      </c>
      <c r="M33" s="83">
        <f t="shared" si="1"/>
        <v>0</v>
      </c>
      <c r="N33" s="46" t="s">
        <v>53</v>
      </c>
      <c r="O33" s="78">
        <v>0.72916666666666663</v>
      </c>
      <c r="P33" s="82"/>
      <c r="Q33" s="82">
        <v>0</v>
      </c>
      <c r="R33" s="81" t="s">
        <v>55</v>
      </c>
    </row>
    <row r="34" spans="2:18" x14ac:dyDescent="0.3">
      <c r="B34" s="51">
        <f t="shared" si="0"/>
        <v>28</v>
      </c>
      <c r="C34" s="51" t="s">
        <v>68</v>
      </c>
      <c r="D34" s="51" t="s">
        <v>69</v>
      </c>
      <c r="E34" s="51" t="s">
        <v>57</v>
      </c>
      <c r="F34" s="51" t="s">
        <v>52</v>
      </c>
      <c r="G34" s="78">
        <v>0.72916666666666663</v>
      </c>
      <c r="H34" s="82"/>
      <c r="I34" s="78">
        <v>0.35416666666666602</v>
      </c>
      <c r="J34" s="78">
        <v>0.72916666666666663</v>
      </c>
      <c r="K34" s="79">
        <f>IFERROR(VLOOKUP(J34,기준!B:C,2,FALSE),"")-IFERROR(VLOOKUP(I34,기준!D:E,2,FALSE),"")</f>
        <v>0</v>
      </c>
      <c r="L34" s="78">
        <f>IFERROR(VLOOKUP(K34,기준!F:G,2,FALSE),"")</f>
        <v>0.72916666666666663</v>
      </c>
      <c r="M34" s="83">
        <f t="shared" si="1"/>
        <v>0</v>
      </c>
      <c r="N34" s="46" t="s">
        <v>53</v>
      </c>
      <c r="O34" s="78">
        <v>0.72916666666666663</v>
      </c>
      <c r="P34" s="82"/>
      <c r="Q34" s="82">
        <v>0</v>
      </c>
      <c r="R34" s="81" t="s">
        <v>55</v>
      </c>
    </row>
    <row r="35" spans="2:18" x14ac:dyDescent="0.3">
      <c r="B35" s="51">
        <f t="shared" si="0"/>
        <v>29</v>
      </c>
      <c r="C35" s="51" t="s">
        <v>68</v>
      </c>
      <c r="D35" s="51" t="s">
        <v>69</v>
      </c>
      <c r="E35" s="51" t="s">
        <v>57</v>
      </c>
      <c r="F35" s="51" t="s">
        <v>52</v>
      </c>
      <c r="G35" s="78">
        <v>0.72916666666666663</v>
      </c>
      <c r="H35" s="82"/>
      <c r="I35" s="78">
        <v>0.35416666666666602</v>
      </c>
      <c r="J35" s="78">
        <v>0.72916666666666663</v>
      </c>
      <c r="K35" s="79">
        <f>IFERROR(VLOOKUP(J35,기준!B:C,2,FALSE),"")-IFERROR(VLOOKUP(I35,기준!D:E,2,FALSE),"")</f>
        <v>0</v>
      </c>
      <c r="L35" s="78">
        <f>IFERROR(VLOOKUP(K35,기준!F:G,2,FALSE),"")</f>
        <v>0.72916666666666663</v>
      </c>
      <c r="M35" s="83">
        <f t="shared" si="1"/>
        <v>0</v>
      </c>
      <c r="N35" s="46" t="s">
        <v>53</v>
      </c>
      <c r="O35" s="78">
        <v>0.72916666666666696</v>
      </c>
      <c r="P35" s="82"/>
      <c r="Q35" s="82">
        <v>0</v>
      </c>
      <c r="R35" s="81" t="s">
        <v>55</v>
      </c>
    </row>
    <row r="36" spans="2:18" x14ac:dyDescent="0.3">
      <c r="B36" s="51">
        <f t="shared" si="0"/>
        <v>30</v>
      </c>
      <c r="C36" s="51" t="s">
        <v>68</v>
      </c>
      <c r="D36" s="51" t="s">
        <v>69</v>
      </c>
      <c r="E36" s="51" t="s">
        <v>57</v>
      </c>
      <c r="F36" s="51" t="s">
        <v>52</v>
      </c>
      <c r="G36" s="78">
        <v>0.72916666666666663</v>
      </c>
      <c r="H36" s="82"/>
      <c r="I36" s="78">
        <v>0.35416666666666602</v>
      </c>
      <c r="J36" s="78">
        <v>0.72916666666666663</v>
      </c>
      <c r="K36" s="79">
        <f>IFERROR(VLOOKUP(J36,기준!B:C,2,FALSE),"")-IFERROR(VLOOKUP(I36,기준!D:E,2,FALSE),"")</f>
        <v>0</v>
      </c>
      <c r="L36" s="78">
        <f>IFERROR(VLOOKUP(K36,기준!F:G,2,FALSE),"")</f>
        <v>0.72916666666666663</v>
      </c>
      <c r="M36" s="83">
        <f t="shared" si="1"/>
        <v>0</v>
      </c>
      <c r="N36" s="46" t="s">
        <v>53</v>
      </c>
      <c r="O36" s="78">
        <v>0.72916666666666696</v>
      </c>
      <c r="P36" s="82"/>
      <c r="Q36" s="82">
        <v>0</v>
      </c>
      <c r="R36" s="81" t="s">
        <v>55</v>
      </c>
    </row>
    <row r="37" spans="2:18" x14ac:dyDescent="0.3">
      <c r="B37" s="51">
        <f t="shared" si="0"/>
        <v>31</v>
      </c>
      <c r="C37" s="51" t="s">
        <v>68</v>
      </c>
      <c r="D37" s="51" t="s">
        <v>69</v>
      </c>
      <c r="E37" s="51" t="s">
        <v>57</v>
      </c>
      <c r="F37" s="51" t="s">
        <v>52</v>
      </c>
      <c r="G37" s="78">
        <v>0.72916666666666663</v>
      </c>
      <c r="H37" s="82"/>
      <c r="I37" s="78">
        <v>0.35416666666666602</v>
      </c>
      <c r="J37" s="78">
        <v>0.72916666666666663</v>
      </c>
      <c r="K37" s="79">
        <f>IFERROR(VLOOKUP(J37,기준!B:C,2,FALSE),"")-IFERROR(VLOOKUP(I37,기준!D:E,2,FALSE),"")</f>
        <v>0</v>
      </c>
      <c r="L37" s="78">
        <f>IFERROR(VLOOKUP(K37,기준!F:G,2,FALSE),"")</f>
        <v>0.72916666666666663</v>
      </c>
      <c r="M37" s="83">
        <f t="shared" si="1"/>
        <v>0</v>
      </c>
      <c r="N37" s="46" t="s">
        <v>53</v>
      </c>
      <c r="O37" s="78">
        <v>0.72916666666666696</v>
      </c>
      <c r="P37" s="82"/>
      <c r="Q37" s="82">
        <v>0</v>
      </c>
      <c r="R37" s="81" t="s">
        <v>55</v>
      </c>
    </row>
    <row r="38" spans="2:18" x14ac:dyDescent="0.3">
      <c r="B38" s="51">
        <f t="shared" si="0"/>
        <v>32</v>
      </c>
      <c r="C38" s="51" t="s">
        <v>68</v>
      </c>
      <c r="D38" s="51" t="s">
        <v>69</v>
      </c>
      <c r="E38" s="51" t="s">
        <v>57</v>
      </c>
      <c r="F38" s="51" t="s">
        <v>52</v>
      </c>
      <c r="G38" s="78">
        <v>0.72916666666666663</v>
      </c>
      <c r="H38" s="82"/>
      <c r="I38" s="78">
        <v>0.35416666666666602</v>
      </c>
      <c r="J38" s="78">
        <v>0.72916666666666663</v>
      </c>
      <c r="K38" s="79">
        <f>IFERROR(VLOOKUP(J38,기준!B:C,2,FALSE),"")-IFERROR(VLOOKUP(I38,기준!D:E,2,FALSE),"")</f>
        <v>0</v>
      </c>
      <c r="L38" s="78">
        <f>IFERROR(VLOOKUP(K38,기준!F:G,2,FALSE),"")</f>
        <v>0.72916666666666663</v>
      </c>
      <c r="M38" s="83">
        <f t="shared" si="1"/>
        <v>0</v>
      </c>
      <c r="N38" s="46" t="s">
        <v>53</v>
      </c>
      <c r="O38" s="78">
        <v>0.72916666666666696</v>
      </c>
      <c r="P38" s="82"/>
      <c r="Q38" s="82">
        <v>0</v>
      </c>
      <c r="R38" s="81" t="s">
        <v>55</v>
      </c>
    </row>
    <row r="39" spans="2:18" x14ac:dyDescent="0.3">
      <c r="B39" s="51">
        <f t="shared" si="0"/>
        <v>33</v>
      </c>
      <c r="C39" s="51" t="s">
        <v>68</v>
      </c>
      <c r="D39" s="51" t="s">
        <v>69</v>
      </c>
      <c r="E39" s="51" t="s">
        <v>57</v>
      </c>
      <c r="F39" s="51" t="s">
        <v>52</v>
      </c>
      <c r="G39" s="78">
        <v>0.72916666666666663</v>
      </c>
      <c r="H39" s="82"/>
      <c r="I39" s="78">
        <v>0.35416666666666602</v>
      </c>
      <c r="J39" s="78">
        <v>0.72916666666666663</v>
      </c>
      <c r="K39" s="79">
        <f>IFERROR(VLOOKUP(J39,기준!B:C,2,FALSE),"")-IFERROR(VLOOKUP(I39,기준!D:E,2,FALSE),"")</f>
        <v>0</v>
      </c>
      <c r="L39" s="78">
        <f>IFERROR(VLOOKUP(K39,기준!F:G,2,FALSE),"")</f>
        <v>0.72916666666666663</v>
      </c>
      <c r="M39" s="83">
        <f t="shared" si="1"/>
        <v>0</v>
      </c>
      <c r="N39" s="46" t="s">
        <v>53</v>
      </c>
      <c r="O39" s="78">
        <v>0.72916666666666663</v>
      </c>
      <c r="P39" s="82"/>
      <c r="Q39" s="82">
        <v>0</v>
      </c>
      <c r="R39" s="81" t="s">
        <v>55</v>
      </c>
    </row>
    <row r="40" spans="2:18" x14ac:dyDescent="0.3">
      <c r="B40" s="51">
        <f t="shared" si="0"/>
        <v>34</v>
      </c>
      <c r="C40" s="51" t="s">
        <v>68</v>
      </c>
      <c r="D40" s="51" t="s">
        <v>69</v>
      </c>
      <c r="E40" s="51" t="s">
        <v>57</v>
      </c>
      <c r="F40" s="51" t="s">
        <v>52</v>
      </c>
      <c r="G40" s="78">
        <v>0.72916666666666663</v>
      </c>
      <c r="H40" s="82"/>
      <c r="I40" s="78">
        <v>0.35416666666666602</v>
      </c>
      <c r="J40" s="78">
        <v>0.72916666666666663</v>
      </c>
      <c r="K40" s="79">
        <f>IFERROR(VLOOKUP(J40,기준!B:C,2,FALSE),"")-IFERROR(VLOOKUP(I40,기준!D:E,2,FALSE),"")</f>
        <v>0</v>
      </c>
      <c r="L40" s="78">
        <f>IFERROR(VLOOKUP(K40,기준!F:G,2,FALSE),"")</f>
        <v>0.72916666666666663</v>
      </c>
      <c r="M40" s="83">
        <f t="shared" si="1"/>
        <v>0</v>
      </c>
      <c r="N40" s="46" t="s">
        <v>53</v>
      </c>
      <c r="O40" s="78">
        <v>0.72916666666666663</v>
      </c>
      <c r="P40" s="82"/>
      <c r="Q40" s="82">
        <v>0</v>
      </c>
      <c r="R40" s="81" t="s">
        <v>55</v>
      </c>
    </row>
    <row r="41" spans="2:18" x14ac:dyDescent="0.3">
      <c r="B41" s="51">
        <f t="shared" si="0"/>
        <v>35</v>
      </c>
      <c r="C41" s="51" t="s">
        <v>68</v>
      </c>
      <c r="D41" s="51" t="s">
        <v>69</v>
      </c>
      <c r="E41" s="51" t="s">
        <v>57</v>
      </c>
      <c r="F41" s="51" t="s">
        <v>52</v>
      </c>
      <c r="G41" s="78">
        <v>0.72916666666666663</v>
      </c>
      <c r="H41" s="82"/>
      <c r="I41" s="78">
        <v>0.35416666666666602</v>
      </c>
      <c r="J41" s="78">
        <v>0.72916666666666663</v>
      </c>
      <c r="K41" s="79">
        <f>IFERROR(VLOOKUP(J41,기준!B:C,2,FALSE),"")-IFERROR(VLOOKUP(I41,기준!D:E,2,FALSE),"")</f>
        <v>0</v>
      </c>
      <c r="L41" s="78">
        <f>IFERROR(VLOOKUP(K41,기준!F:G,2,FALSE),"")</f>
        <v>0.72916666666666663</v>
      </c>
      <c r="M41" s="83">
        <f t="shared" si="1"/>
        <v>0</v>
      </c>
      <c r="N41" s="46" t="s">
        <v>53</v>
      </c>
      <c r="O41" s="78">
        <v>0.72916666666666696</v>
      </c>
      <c r="P41" s="82"/>
      <c r="Q41" s="82">
        <v>0</v>
      </c>
      <c r="R41" s="81" t="s">
        <v>55</v>
      </c>
    </row>
    <row r="42" spans="2:18" x14ac:dyDescent="0.3">
      <c r="B42" s="51">
        <f t="shared" si="0"/>
        <v>36</v>
      </c>
      <c r="C42" s="51" t="s">
        <v>68</v>
      </c>
      <c r="D42" s="51" t="s">
        <v>69</v>
      </c>
      <c r="E42" s="51" t="s">
        <v>57</v>
      </c>
      <c r="F42" s="51" t="s">
        <v>52</v>
      </c>
      <c r="G42" s="78">
        <v>0.72916666666666663</v>
      </c>
      <c r="H42" s="82"/>
      <c r="I42" s="78">
        <v>0.35416666666666602</v>
      </c>
      <c r="J42" s="78">
        <v>0.72916666666666663</v>
      </c>
      <c r="K42" s="79">
        <f>IFERROR(VLOOKUP(J42,기준!B:C,2,FALSE),"")-IFERROR(VLOOKUP(I42,기준!D:E,2,FALSE),"")</f>
        <v>0</v>
      </c>
      <c r="L42" s="78">
        <f>IFERROR(VLOOKUP(K42,기준!F:G,2,FALSE),"")</f>
        <v>0.72916666666666663</v>
      </c>
      <c r="M42" s="83">
        <f t="shared" si="1"/>
        <v>0</v>
      </c>
      <c r="N42" s="46" t="s">
        <v>53</v>
      </c>
      <c r="O42" s="78">
        <v>0.72916666666666696</v>
      </c>
      <c r="P42" s="82"/>
      <c r="Q42" s="82">
        <v>0</v>
      </c>
      <c r="R42" s="81" t="s">
        <v>55</v>
      </c>
    </row>
    <row r="43" spans="2:18" x14ac:dyDescent="0.3">
      <c r="B43" s="51">
        <f t="shared" si="0"/>
        <v>37</v>
      </c>
      <c r="C43" s="51" t="s">
        <v>68</v>
      </c>
      <c r="D43" s="51" t="s">
        <v>69</v>
      </c>
      <c r="E43" s="51" t="s">
        <v>57</v>
      </c>
      <c r="F43" s="51" t="s">
        <v>52</v>
      </c>
      <c r="G43" s="78">
        <v>0.72916666666666663</v>
      </c>
      <c r="H43" s="82"/>
      <c r="I43" s="78">
        <v>0.35416666666666602</v>
      </c>
      <c r="J43" s="78">
        <v>0.72916666666666663</v>
      </c>
      <c r="K43" s="79">
        <f>IFERROR(VLOOKUP(J43,기준!B:C,2,FALSE),"")-IFERROR(VLOOKUP(I43,기준!D:E,2,FALSE),"")</f>
        <v>0</v>
      </c>
      <c r="L43" s="78">
        <f>IFERROR(VLOOKUP(K43,기준!F:G,2,FALSE),"")</f>
        <v>0.72916666666666663</v>
      </c>
      <c r="M43" s="83">
        <f t="shared" si="1"/>
        <v>0</v>
      </c>
      <c r="N43" s="46" t="s">
        <v>53</v>
      </c>
      <c r="O43" s="78">
        <v>0.72916666666666696</v>
      </c>
      <c r="P43" s="82"/>
      <c r="Q43" s="82">
        <v>0</v>
      </c>
      <c r="R43" s="81" t="s">
        <v>55</v>
      </c>
    </row>
  </sheetData>
  <mergeCells count="15">
    <mergeCell ref="R5:R6"/>
    <mergeCell ref="O4:Q4"/>
    <mergeCell ref="G5:H5"/>
    <mergeCell ref="I5:K5"/>
    <mergeCell ref="L5:L6"/>
    <mergeCell ref="M5:M6"/>
    <mergeCell ref="N5:N6"/>
    <mergeCell ref="O5:P5"/>
    <mergeCell ref="Q5:Q6"/>
    <mergeCell ref="G4:M4"/>
    <mergeCell ref="B4:B6"/>
    <mergeCell ref="C4:C6"/>
    <mergeCell ref="D4:D6"/>
    <mergeCell ref="E4:E6"/>
    <mergeCell ref="F4:F6"/>
  </mergeCells>
  <phoneticPr fontId="1" type="noConversion"/>
  <dataValidations disablePrompts="1" count="1">
    <dataValidation type="list" allowBlank="1" showInputMessage="1" showErrorMessage="1" sqref="O7:O43" xr:uid="{C8C0AD4C-FB4B-4E06-B50E-582349AC7306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91EE-677F-4B6C-AB34-2E4AA82DA44C}">
  <sheetPr>
    <tabColor rgb="FFFF0000"/>
  </sheetPr>
  <dimension ref="A1:V43"/>
  <sheetViews>
    <sheetView showGridLines="0" topLeftCell="A15" workbookViewId="0">
      <selection activeCell="R37" sqref="R37"/>
    </sheetView>
  </sheetViews>
  <sheetFormatPr defaultRowHeight="16.5" x14ac:dyDescent="0.3"/>
  <cols>
    <col min="1" max="1" width="1.625" customWidth="1"/>
    <col min="2" max="2" width="15.875" bestFit="1" customWidth="1"/>
    <col min="12" max="12" width="17.375" customWidth="1"/>
    <col min="14" max="14" width="19.375" bestFit="1" customWidth="1"/>
    <col min="18" max="18" width="22.75" bestFit="1" customWidth="1"/>
    <col min="19" max="19" width="10.5" hidden="1" customWidth="1"/>
    <col min="20" max="20" width="8.875" customWidth="1"/>
    <col min="21" max="21" width="10.375" hidden="1" customWidth="1"/>
    <col min="22" max="22" width="9" hidden="1" customWidth="1"/>
  </cols>
  <sheetData>
    <row r="1" spans="1:22" x14ac:dyDescent="0.3">
      <c r="A1" s="17"/>
      <c r="B1" s="17"/>
      <c r="C1" s="17"/>
      <c r="D1" s="17"/>
      <c r="E1" s="17"/>
      <c r="F1" s="17"/>
      <c r="G1" s="18"/>
      <c r="H1" s="19"/>
      <c r="I1" s="19"/>
      <c r="J1" s="18"/>
      <c r="K1" s="19"/>
      <c r="L1" s="19"/>
      <c r="M1" s="19"/>
      <c r="N1" s="17"/>
      <c r="O1" s="18"/>
      <c r="P1" s="19"/>
      <c r="Q1" s="19"/>
      <c r="R1" s="17"/>
      <c r="S1" s="20"/>
    </row>
    <row r="2" spans="1:22" x14ac:dyDescent="0.3">
      <c r="A2" s="17"/>
      <c r="B2" s="21" t="s">
        <v>28</v>
      </c>
      <c r="C2" s="22"/>
      <c r="D2" s="22"/>
      <c r="E2" s="22"/>
      <c r="F2" s="22"/>
      <c r="G2" s="23"/>
      <c r="H2" s="24"/>
      <c r="I2" s="24"/>
      <c r="J2" s="23"/>
      <c r="K2" s="24"/>
      <c r="L2" s="24"/>
      <c r="M2" s="24"/>
      <c r="N2" s="22"/>
      <c r="O2" s="23"/>
      <c r="P2" s="24"/>
      <c r="Q2" s="24"/>
      <c r="R2" s="22"/>
      <c r="S2" s="25"/>
    </row>
    <row r="3" spans="1:22" x14ac:dyDescent="0.3">
      <c r="A3" s="17"/>
      <c r="B3" s="26">
        <v>46103</v>
      </c>
      <c r="C3" s="26"/>
      <c r="D3" s="26"/>
      <c r="E3" s="26"/>
      <c r="F3" s="27" t="s">
        <v>77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2" ht="16.5" customHeight="1" x14ac:dyDescent="0.3">
      <c r="A4" s="17"/>
      <c r="B4" s="105" t="s">
        <v>30</v>
      </c>
      <c r="C4" s="105" t="s">
        <v>31</v>
      </c>
      <c r="D4" s="105" t="s">
        <v>25</v>
      </c>
      <c r="E4" s="105" t="s">
        <v>32</v>
      </c>
      <c r="F4" s="105" t="s">
        <v>33</v>
      </c>
      <c r="G4" s="102" t="s">
        <v>34</v>
      </c>
      <c r="H4" s="103"/>
      <c r="I4" s="103"/>
      <c r="J4" s="103"/>
      <c r="K4" s="103"/>
      <c r="L4" s="103"/>
      <c r="M4" s="104"/>
      <c r="N4" s="28">
        <f>B3-1</f>
        <v>46102</v>
      </c>
      <c r="O4" s="87" t="s">
        <v>35</v>
      </c>
      <c r="P4" s="88"/>
      <c r="Q4" s="89"/>
      <c r="R4" s="29">
        <f>B3</f>
        <v>46103</v>
      </c>
      <c r="S4" s="30" t="s">
        <v>36</v>
      </c>
      <c r="U4" s="31" t="s">
        <v>37</v>
      </c>
      <c r="V4" s="32"/>
    </row>
    <row r="5" spans="1:22" ht="16.5" customHeight="1" x14ac:dyDescent="0.3">
      <c r="A5" s="17"/>
      <c r="B5" s="106"/>
      <c r="C5" s="106"/>
      <c r="D5" s="106"/>
      <c r="E5" s="106"/>
      <c r="F5" s="106"/>
      <c r="G5" s="90" t="s">
        <v>38</v>
      </c>
      <c r="H5" s="91"/>
      <c r="I5" s="92" t="s">
        <v>39</v>
      </c>
      <c r="J5" s="93"/>
      <c r="K5" s="91"/>
      <c r="L5" s="94" t="s">
        <v>40</v>
      </c>
      <c r="M5" s="96" t="s">
        <v>41</v>
      </c>
      <c r="N5" s="94" t="s">
        <v>43</v>
      </c>
      <c r="O5" s="98" t="s">
        <v>44</v>
      </c>
      <c r="P5" s="99"/>
      <c r="Q5" s="100" t="s">
        <v>41</v>
      </c>
      <c r="R5" s="85" t="s">
        <v>42</v>
      </c>
      <c r="S5" s="33"/>
      <c r="U5" s="34"/>
      <c r="V5" s="35"/>
    </row>
    <row r="6" spans="1:22" x14ac:dyDescent="0.3">
      <c r="A6" s="17"/>
      <c r="B6" s="106"/>
      <c r="C6" s="106"/>
      <c r="D6" s="106"/>
      <c r="E6" s="106"/>
      <c r="F6" s="106"/>
      <c r="G6" s="36" t="s">
        <v>45</v>
      </c>
      <c r="H6" s="37"/>
      <c r="I6" s="37" t="s">
        <v>46</v>
      </c>
      <c r="J6" s="37" t="s">
        <v>45</v>
      </c>
      <c r="K6" s="37"/>
      <c r="L6" s="95"/>
      <c r="M6" s="97"/>
      <c r="N6" s="95"/>
      <c r="O6" s="38" t="s">
        <v>45</v>
      </c>
      <c r="P6" s="39" t="s">
        <v>38</v>
      </c>
      <c r="Q6" s="107"/>
      <c r="R6" s="86"/>
      <c r="S6" s="33"/>
      <c r="U6" s="36" t="s">
        <v>47</v>
      </c>
      <c r="V6" s="40" t="s">
        <v>48</v>
      </c>
    </row>
    <row r="7" spans="1:22" x14ac:dyDescent="0.3">
      <c r="A7" s="17"/>
      <c r="B7" s="41">
        <f t="shared" ref="B7:B43" si="0">+ROW()-6</f>
        <v>1</v>
      </c>
      <c r="C7" s="41" t="s">
        <v>49</v>
      </c>
      <c r="D7" s="41" t="s">
        <v>50</v>
      </c>
      <c r="E7" s="41" t="s">
        <v>51</v>
      </c>
      <c r="F7" s="41" t="s">
        <v>52</v>
      </c>
      <c r="G7" s="42">
        <v>0.72916666666666663</v>
      </c>
      <c r="H7" s="43"/>
      <c r="I7" s="44">
        <v>0.35416666666666602</v>
      </c>
      <c r="J7" s="44">
        <v>0.72916666666666663</v>
      </c>
      <c r="K7" s="43">
        <f>IFERROR(VLOOKUP(J7,[1]기준!B:C,2,FALSE),"")-IFERROR(VLOOKUP(I7,[1]기준!D:E,2,FALSE),"")</f>
        <v>0</v>
      </c>
      <c r="L7" s="44">
        <f>IFERROR(VLOOKUP(K7,[1]기준!F:G,2,FALSE),"")</f>
        <v>0.72916666666666663</v>
      </c>
      <c r="M7" s="45">
        <f t="shared" ref="M7:M43" si="1">K7</f>
        <v>0</v>
      </c>
      <c r="N7" s="46" t="s">
        <v>76</v>
      </c>
      <c r="O7" s="42">
        <v>0.72916666666666663</v>
      </c>
      <c r="P7" s="43" t="s">
        <v>54</v>
      </c>
      <c r="Q7" s="47">
        <v>0</v>
      </c>
      <c r="R7" s="46" t="s">
        <v>76</v>
      </c>
      <c r="S7" s="48" t="s">
        <v>55</v>
      </c>
      <c r="U7" s="44">
        <v>0.35416666666666602</v>
      </c>
      <c r="V7" s="49">
        <f>COUNTIF($I$7:$I$19,U7)</f>
        <v>13</v>
      </c>
    </row>
    <row r="8" spans="1:22" x14ac:dyDescent="0.3">
      <c r="A8" s="17"/>
      <c r="B8" s="50">
        <f t="shared" si="0"/>
        <v>2</v>
      </c>
      <c r="C8" s="51" t="s">
        <v>56</v>
      </c>
      <c r="D8" s="50" t="s">
        <v>14</v>
      </c>
      <c r="E8" s="50" t="s">
        <v>57</v>
      </c>
      <c r="F8" s="51" t="s">
        <v>52</v>
      </c>
      <c r="G8" s="44">
        <v>0.72916666666666663</v>
      </c>
      <c r="H8" s="53"/>
      <c r="I8" s="44">
        <v>0.35416666666666602</v>
      </c>
      <c r="J8" s="44">
        <v>0.72916666666666663</v>
      </c>
      <c r="K8" s="43">
        <f>IFERROR(VLOOKUP(J8,[1]기준!B:C,2,FALSE),"")-IFERROR(VLOOKUP(I8,[1]기준!D:E,2,FALSE),"")</f>
        <v>0</v>
      </c>
      <c r="L8" s="44">
        <f>IFERROR(VLOOKUP(K8,[1]기준!F:G,2,FALSE),"")</f>
        <v>0.72916666666666663</v>
      </c>
      <c r="M8" s="52">
        <f t="shared" si="1"/>
        <v>0</v>
      </c>
      <c r="N8" s="46" t="s">
        <v>55</v>
      </c>
      <c r="O8" s="42">
        <v>0.72916666666666663</v>
      </c>
      <c r="P8" s="53"/>
      <c r="Q8" s="54">
        <v>0</v>
      </c>
      <c r="R8" s="46" t="s">
        <v>55</v>
      </c>
      <c r="S8" s="48" t="s">
        <v>55</v>
      </c>
      <c r="U8" s="44">
        <v>0.39583333333333298</v>
      </c>
      <c r="V8" s="49">
        <f>COUNTIF($I$7:$I$19,U8)</f>
        <v>0</v>
      </c>
    </row>
    <row r="9" spans="1:22" x14ac:dyDescent="0.3">
      <c r="A9" s="17"/>
      <c r="B9" s="50">
        <f t="shared" si="0"/>
        <v>3</v>
      </c>
      <c r="C9" s="41" t="s">
        <v>49</v>
      </c>
      <c r="D9" s="50" t="s">
        <v>13</v>
      </c>
      <c r="E9" s="50" t="s">
        <v>57</v>
      </c>
      <c r="F9" s="50" t="s">
        <v>52</v>
      </c>
      <c r="G9" s="42">
        <v>0.72916666666666663</v>
      </c>
      <c r="H9" s="53"/>
      <c r="I9" s="44">
        <v>0.35416666666666602</v>
      </c>
      <c r="J9" s="44">
        <v>0.72916666666666663</v>
      </c>
      <c r="K9" s="43">
        <f>IFERROR(VLOOKUP(J9,[1]기준!B:C,2,FALSE),"")-IFERROR(VLOOKUP(I9,[1]기준!D:E,2,FALSE),"")</f>
        <v>0</v>
      </c>
      <c r="L9" s="44">
        <f>IFERROR(VLOOKUP(K9,[1]기준!F:G,2,FALSE),"")</f>
        <v>0.72916666666666663</v>
      </c>
      <c r="M9" s="52">
        <f t="shared" si="1"/>
        <v>0</v>
      </c>
      <c r="N9" s="46" t="s">
        <v>55</v>
      </c>
      <c r="O9" s="42">
        <v>0.72916666666666663</v>
      </c>
      <c r="P9" s="53" t="s">
        <v>54</v>
      </c>
      <c r="Q9" s="54">
        <v>0</v>
      </c>
      <c r="R9" s="46" t="s">
        <v>55</v>
      </c>
      <c r="S9" s="48" t="s">
        <v>58</v>
      </c>
      <c r="U9" s="44">
        <v>0.41666666666666602</v>
      </c>
      <c r="V9" s="49">
        <f>COUNTIF($I$7:$I$19,U9)</f>
        <v>0</v>
      </c>
    </row>
    <row r="10" spans="1:22" x14ac:dyDescent="0.3">
      <c r="A10" s="17"/>
      <c r="B10" s="50">
        <f t="shared" si="0"/>
        <v>4</v>
      </c>
      <c r="C10" s="41" t="s">
        <v>49</v>
      </c>
      <c r="D10" s="50" t="s">
        <v>59</v>
      </c>
      <c r="E10" s="50" t="s">
        <v>57</v>
      </c>
      <c r="F10" s="50" t="s">
        <v>52</v>
      </c>
      <c r="G10" s="42">
        <v>0.72916666666666663</v>
      </c>
      <c r="H10" s="53"/>
      <c r="I10" s="44">
        <v>0.35416666666666602</v>
      </c>
      <c r="J10" s="44">
        <v>0.72916666666666663</v>
      </c>
      <c r="K10" s="43">
        <f>IFERROR(VLOOKUP(J10,[1]기준!B:C,2,FALSE),"")-IFERROR(VLOOKUP(I10,[1]기준!D:E,2,FALSE),"")</f>
        <v>0</v>
      </c>
      <c r="L10" s="44">
        <f>IFERROR(VLOOKUP(K10,[1]기준!F:G,2,FALSE),"")</f>
        <v>0.72916666666666663</v>
      </c>
      <c r="M10" s="52">
        <f t="shared" si="1"/>
        <v>0</v>
      </c>
      <c r="N10" s="46" t="s">
        <v>55</v>
      </c>
      <c r="O10" s="42">
        <v>0.72916666666666663</v>
      </c>
      <c r="P10" s="53"/>
      <c r="Q10" s="54">
        <v>0</v>
      </c>
      <c r="R10" s="46" t="s">
        <v>55</v>
      </c>
      <c r="S10" s="48"/>
      <c r="U10" s="44">
        <v>0.5625</v>
      </c>
      <c r="V10" s="49">
        <f>COUNTIF($I$7:$I$19,U10)</f>
        <v>0</v>
      </c>
    </row>
    <row r="11" spans="1:22" x14ac:dyDescent="0.3">
      <c r="A11" s="17"/>
      <c r="B11" s="50">
        <f t="shared" si="0"/>
        <v>5</v>
      </c>
      <c r="C11" s="41" t="s">
        <v>49</v>
      </c>
      <c r="D11" s="50" t="s">
        <v>11</v>
      </c>
      <c r="E11" s="50" t="s">
        <v>57</v>
      </c>
      <c r="F11" s="50" t="s">
        <v>52</v>
      </c>
      <c r="G11" s="42">
        <v>0.72916666666666663</v>
      </c>
      <c r="H11" s="55"/>
      <c r="I11" s="44">
        <v>0.35416666666666602</v>
      </c>
      <c r="J11" s="44">
        <v>0.72916666666666663</v>
      </c>
      <c r="K11" s="43">
        <f>IFERROR(VLOOKUP(J11,[1]기준!B:C,2,FALSE),"")-IFERROR(VLOOKUP(I11,[1]기준!D:E,2,FALSE),"")</f>
        <v>0</v>
      </c>
      <c r="L11" s="44">
        <f>IFERROR(VLOOKUP(K11,[1]기준!F:G,2,FALSE),"")</f>
        <v>0.72916666666666663</v>
      </c>
      <c r="M11" s="52">
        <f t="shared" si="1"/>
        <v>0</v>
      </c>
      <c r="N11" s="46" t="s">
        <v>55</v>
      </c>
      <c r="O11" s="42">
        <v>0.72916666666666663</v>
      </c>
      <c r="P11" s="53" t="s">
        <v>54</v>
      </c>
      <c r="Q11" s="54">
        <v>0</v>
      </c>
      <c r="R11" s="46" t="s">
        <v>55</v>
      </c>
      <c r="S11" s="48"/>
      <c r="U11" s="44">
        <v>0.72916666666666663</v>
      </c>
      <c r="V11" s="49">
        <f>COUNTIF($J$7:$J$19,U11)</f>
        <v>13</v>
      </c>
    </row>
    <row r="12" spans="1:22" x14ac:dyDescent="0.3">
      <c r="A12" s="17"/>
      <c r="B12" s="50">
        <f t="shared" si="0"/>
        <v>6</v>
      </c>
      <c r="C12" s="41" t="s">
        <v>49</v>
      </c>
      <c r="D12" s="50" t="s">
        <v>60</v>
      </c>
      <c r="E12" s="50" t="s">
        <v>57</v>
      </c>
      <c r="F12" s="50" t="s">
        <v>52</v>
      </c>
      <c r="G12" s="42">
        <v>0.72916666666666663</v>
      </c>
      <c r="H12" s="53"/>
      <c r="I12" s="44">
        <v>0.35416666666666602</v>
      </c>
      <c r="J12" s="44">
        <v>0.72916666666666663</v>
      </c>
      <c r="K12" s="43">
        <f>IFERROR(VLOOKUP(J12,[1]기준!B:C,2,FALSE),"")-IFERROR(VLOOKUP(I12,[1]기준!D:E,2,FALSE),"")</f>
        <v>0</v>
      </c>
      <c r="L12" s="44">
        <f>IFERROR(VLOOKUP(K12,[1]기준!F:G,2,FALSE),"")</f>
        <v>0.72916666666666663</v>
      </c>
      <c r="M12" s="52">
        <f t="shared" si="1"/>
        <v>0</v>
      </c>
      <c r="N12" s="46" t="s">
        <v>55</v>
      </c>
      <c r="O12" s="42">
        <v>0.72916666666666696</v>
      </c>
      <c r="P12" s="53"/>
      <c r="Q12" s="54">
        <v>0</v>
      </c>
      <c r="R12" s="46" t="s">
        <v>55</v>
      </c>
      <c r="S12" s="48"/>
      <c r="U12" s="44">
        <v>0.75</v>
      </c>
      <c r="V12" s="49">
        <f>COUNTIF($J$7:$J$19,U12)</f>
        <v>0</v>
      </c>
    </row>
    <row r="13" spans="1:22" ht="17.25" customHeight="1" x14ac:dyDescent="0.3">
      <c r="A13" s="17"/>
      <c r="B13" s="50">
        <f t="shared" si="0"/>
        <v>7</v>
      </c>
      <c r="C13" s="41" t="s">
        <v>49</v>
      </c>
      <c r="D13" s="50" t="s">
        <v>61</v>
      </c>
      <c r="E13" s="50" t="s">
        <v>57</v>
      </c>
      <c r="F13" s="50" t="s">
        <v>52</v>
      </c>
      <c r="G13" s="42">
        <v>0.72916666666666663</v>
      </c>
      <c r="H13" s="53"/>
      <c r="I13" s="44">
        <v>0.35416666666666602</v>
      </c>
      <c r="J13" s="44">
        <v>0.72916666666666663</v>
      </c>
      <c r="K13" s="43">
        <f>IFERROR(VLOOKUP(J13,[1]기준!B:C,2,FALSE),"")-IFERROR(VLOOKUP(I13,[1]기준!D:E,2,FALSE),"")</f>
        <v>0</v>
      </c>
      <c r="L13" s="44">
        <f>IFERROR(VLOOKUP(K13,[1]기준!F:G,2,FALSE),"")</f>
        <v>0.72916666666666663</v>
      </c>
      <c r="M13" s="52">
        <f t="shared" si="1"/>
        <v>0</v>
      </c>
      <c r="N13" s="46" t="s">
        <v>55</v>
      </c>
      <c r="O13" s="42">
        <v>0.72916666666666696</v>
      </c>
      <c r="P13" s="53"/>
      <c r="Q13" s="54">
        <v>0</v>
      </c>
      <c r="R13" s="46" t="s">
        <v>55</v>
      </c>
      <c r="S13" s="48"/>
      <c r="U13" s="44">
        <v>0.77083333333333304</v>
      </c>
      <c r="V13" s="49">
        <f>COUNTIF($J$7:$J$19,U13)</f>
        <v>0</v>
      </c>
    </row>
    <row r="14" spans="1:22" x14ac:dyDescent="0.3">
      <c r="A14" s="17"/>
      <c r="B14" s="50">
        <f t="shared" si="0"/>
        <v>8</v>
      </c>
      <c r="C14" s="41" t="s">
        <v>49</v>
      </c>
      <c r="D14" s="50" t="s">
        <v>8</v>
      </c>
      <c r="E14" s="50" t="s">
        <v>57</v>
      </c>
      <c r="F14" s="50" t="s">
        <v>62</v>
      </c>
      <c r="G14" s="42">
        <v>0.72916666666666663</v>
      </c>
      <c r="H14" s="55"/>
      <c r="I14" s="44">
        <v>0.35416666666666602</v>
      </c>
      <c r="J14" s="44">
        <v>0.72916666666666663</v>
      </c>
      <c r="K14" s="43">
        <f>IFERROR(VLOOKUP(J14,[1]기준!B:C,2,FALSE),"")-IFERROR(VLOOKUP(I14,[1]기준!D:E,2,FALSE),"")</f>
        <v>0</v>
      </c>
      <c r="L14" s="44">
        <f>IFERROR(VLOOKUP(K14,[1]기준!F:G,2,FALSE),"")</f>
        <v>0.72916666666666663</v>
      </c>
      <c r="M14" s="52">
        <f t="shared" si="1"/>
        <v>0</v>
      </c>
      <c r="N14" s="46" t="s">
        <v>55</v>
      </c>
      <c r="O14" s="42">
        <v>0.72916666666666696</v>
      </c>
      <c r="P14" s="53"/>
      <c r="Q14" s="54">
        <v>0</v>
      </c>
      <c r="R14" s="46" t="s">
        <v>55</v>
      </c>
      <c r="S14" s="48"/>
      <c r="U14" s="44">
        <v>0.79166666666666696</v>
      </c>
      <c r="V14" s="49">
        <f>COUNTIF($J$7:$J$19,U14)</f>
        <v>0</v>
      </c>
    </row>
    <row r="15" spans="1:22" x14ac:dyDescent="0.3">
      <c r="A15" s="17"/>
      <c r="B15" s="50">
        <f t="shared" si="0"/>
        <v>9</v>
      </c>
      <c r="C15" s="51" t="s">
        <v>56</v>
      </c>
      <c r="D15" s="50" t="s">
        <v>7</v>
      </c>
      <c r="E15" s="50" t="s">
        <v>57</v>
      </c>
      <c r="F15" s="50" t="s">
        <v>62</v>
      </c>
      <c r="G15" s="42">
        <v>0.72916666666666663</v>
      </c>
      <c r="H15" s="55"/>
      <c r="I15" s="44">
        <v>0.35416666666666602</v>
      </c>
      <c r="J15" s="44">
        <v>0.72916666666666663</v>
      </c>
      <c r="K15" s="43">
        <f>IFERROR(VLOOKUP(J15,[1]기준!B:C,2,FALSE),"")-IFERROR(VLOOKUP(I15,[1]기준!D:E,2,FALSE),"")</f>
        <v>0</v>
      </c>
      <c r="L15" s="44">
        <f>IFERROR(VLOOKUP(K15,[1]기준!F:G,2,FALSE),"")</f>
        <v>0.72916666666666663</v>
      </c>
      <c r="M15" s="52">
        <f t="shared" si="1"/>
        <v>0</v>
      </c>
      <c r="N15" s="46" t="s">
        <v>55</v>
      </c>
      <c r="O15" s="42">
        <v>0.72916666666666696</v>
      </c>
      <c r="P15" s="53"/>
      <c r="Q15" s="54">
        <v>0</v>
      </c>
      <c r="R15" s="46" t="s">
        <v>55</v>
      </c>
      <c r="S15" s="48"/>
      <c r="U15" s="44"/>
      <c r="V15" s="49"/>
    </row>
    <row r="16" spans="1:22" x14ac:dyDescent="0.3">
      <c r="A16" s="17"/>
      <c r="B16" s="50">
        <f t="shared" si="0"/>
        <v>10</v>
      </c>
      <c r="C16" s="51" t="s">
        <v>63</v>
      </c>
      <c r="D16" s="50" t="s">
        <v>5</v>
      </c>
      <c r="E16" s="50" t="s">
        <v>64</v>
      </c>
      <c r="F16" s="50" t="s">
        <v>65</v>
      </c>
      <c r="G16" s="42">
        <v>0.72916666666666663</v>
      </c>
      <c r="H16" s="53"/>
      <c r="I16" s="44">
        <v>0.35416666666666602</v>
      </c>
      <c r="J16" s="44">
        <v>0.72916666666666663</v>
      </c>
      <c r="K16" s="43">
        <f>IFERROR(VLOOKUP(J16,[1]기준!B:C,2,FALSE),"")-IFERROR(VLOOKUP(I16,[1]기준!D:E,2,FALSE),"")</f>
        <v>0</v>
      </c>
      <c r="L16" s="44">
        <f>IFERROR(VLOOKUP(K16,[1]기준!F:G,2,FALSE),"")</f>
        <v>0.72916666666666663</v>
      </c>
      <c r="M16" s="52">
        <f t="shared" si="1"/>
        <v>0</v>
      </c>
      <c r="N16" s="46" t="s">
        <v>55</v>
      </c>
      <c r="O16" s="42">
        <v>0.72916666666666663</v>
      </c>
      <c r="P16" s="53" t="s">
        <v>54</v>
      </c>
      <c r="Q16" s="54">
        <v>0</v>
      </c>
      <c r="R16" s="46" t="s">
        <v>55</v>
      </c>
      <c r="S16" s="48" t="s">
        <v>55</v>
      </c>
      <c r="U16" s="44">
        <v>0.8125</v>
      </c>
      <c r="V16" s="49">
        <f t="shared" ref="V16:V24" si="2">COUNTIF($J$7:$J$19,U16)</f>
        <v>0</v>
      </c>
    </row>
    <row r="17" spans="1:22" x14ac:dyDescent="0.3">
      <c r="A17" s="17"/>
      <c r="B17" s="50">
        <f t="shared" si="0"/>
        <v>11</v>
      </c>
      <c r="C17" s="41" t="s">
        <v>49</v>
      </c>
      <c r="D17" s="50" t="s">
        <v>66</v>
      </c>
      <c r="E17" s="50" t="s">
        <v>64</v>
      </c>
      <c r="F17" s="50" t="s">
        <v>65</v>
      </c>
      <c r="G17" s="42">
        <v>0.72916666666666663</v>
      </c>
      <c r="H17" s="55"/>
      <c r="I17" s="44">
        <v>0.35416666666666602</v>
      </c>
      <c r="J17" s="44">
        <v>0.72916666666666663</v>
      </c>
      <c r="K17" s="43">
        <f>IFERROR(VLOOKUP(J17,[1]기준!B:C,2,FALSE),"")-IFERROR(VLOOKUP(I17,[1]기준!D:E,2,FALSE),"")</f>
        <v>0</v>
      </c>
      <c r="L17" s="44">
        <f>IFERROR(VLOOKUP(K17,[1]기준!F:G,2,FALSE),"")</f>
        <v>0.72916666666666663</v>
      </c>
      <c r="M17" s="52">
        <f t="shared" si="1"/>
        <v>0</v>
      </c>
      <c r="N17" s="46" t="s">
        <v>55</v>
      </c>
      <c r="O17" s="42">
        <v>0.72916666666666663</v>
      </c>
      <c r="P17" s="53" t="s">
        <v>54</v>
      </c>
      <c r="Q17" s="54">
        <v>0</v>
      </c>
      <c r="R17" s="46" t="s">
        <v>55</v>
      </c>
      <c r="S17" s="48" t="s">
        <v>58</v>
      </c>
      <c r="U17" s="42">
        <v>0.83333333333333337</v>
      </c>
      <c r="V17" s="49">
        <f t="shared" si="2"/>
        <v>0</v>
      </c>
    </row>
    <row r="18" spans="1:22" x14ac:dyDescent="0.3">
      <c r="A18" s="17"/>
      <c r="B18" s="50">
        <f t="shared" si="0"/>
        <v>12</v>
      </c>
      <c r="C18" s="50" t="s">
        <v>67</v>
      </c>
      <c r="D18" s="50" t="s">
        <v>2</v>
      </c>
      <c r="E18" s="50" t="s">
        <v>57</v>
      </c>
      <c r="F18" s="50" t="s">
        <v>52</v>
      </c>
      <c r="G18" s="42">
        <v>0.72916666666666663</v>
      </c>
      <c r="H18" s="55"/>
      <c r="I18" s="44">
        <v>0.35416666666666602</v>
      </c>
      <c r="J18" s="44">
        <v>0.72916666666666663</v>
      </c>
      <c r="K18" s="43">
        <f>IFERROR(VLOOKUP(J18,[1]기준!B:C,2,FALSE),"")-IFERROR(VLOOKUP(I18,[1]기준!D:E,2,FALSE),"")</f>
        <v>0</v>
      </c>
      <c r="L18" s="44">
        <f>IFERROR(VLOOKUP(K18,[1]기준!F:G,2,FALSE),"")</f>
        <v>0.72916666666666663</v>
      </c>
      <c r="M18" s="52">
        <f t="shared" si="1"/>
        <v>0</v>
      </c>
      <c r="N18" s="46" t="s">
        <v>55</v>
      </c>
      <c r="O18" s="42">
        <v>0.72916666666666696</v>
      </c>
      <c r="P18" s="53"/>
      <c r="Q18" s="54">
        <v>0</v>
      </c>
      <c r="R18" s="46" t="s">
        <v>55</v>
      </c>
      <c r="S18" s="48"/>
      <c r="U18" s="44">
        <v>0.875000000000001</v>
      </c>
      <c r="V18" s="49">
        <f t="shared" si="2"/>
        <v>0</v>
      </c>
    </row>
    <row r="19" spans="1:22" x14ac:dyDescent="0.3">
      <c r="A19" s="17"/>
      <c r="B19" s="56">
        <f t="shared" si="0"/>
        <v>13</v>
      </c>
      <c r="C19" s="56" t="s">
        <v>68</v>
      </c>
      <c r="D19" s="56" t="s">
        <v>69</v>
      </c>
      <c r="E19" s="56" t="s">
        <v>57</v>
      </c>
      <c r="F19" s="56" t="s">
        <v>52</v>
      </c>
      <c r="G19" s="57">
        <v>0.72916666666666663</v>
      </c>
      <c r="H19" s="58"/>
      <c r="I19" s="59">
        <v>0.35416666666666602</v>
      </c>
      <c r="J19" s="59">
        <v>0.72916666666666663</v>
      </c>
      <c r="K19" s="60">
        <f>IFERROR(VLOOKUP(J19,[1]기준!B:C,2,FALSE),"")-IFERROR(VLOOKUP(I19,[1]기준!D:E,2,FALSE),"")</f>
        <v>0</v>
      </c>
      <c r="L19" s="59">
        <f>IFERROR(VLOOKUP(K19,[1]기준!F:G,2,FALSE),"")</f>
        <v>0.72916666666666663</v>
      </c>
      <c r="M19" s="61">
        <f t="shared" si="1"/>
        <v>0</v>
      </c>
      <c r="N19" s="46" t="s">
        <v>55</v>
      </c>
      <c r="O19" s="57">
        <v>0.72916666666666696</v>
      </c>
      <c r="P19" s="58"/>
      <c r="Q19" s="63">
        <v>0</v>
      </c>
      <c r="R19" s="62" t="s">
        <v>55</v>
      </c>
      <c r="S19" s="48"/>
      <c r="U19" s="44">
        <v>0.89583333333333404</v>
      </c>
      <c r="V19" s="49">
        <f t="shared" si="2"/>
        <v>0</v>
      </c>
    </row>
    <row r="20" spans="1:22" x14ac:dyDescent="0.3">
      <c r="B20" s="51">
        <f t="shared" si="0"/>
        <v>14</v>
      </c>
      <c r="C20" s="77" t="s">
        <v>49</v>
      </c>
      <c r="D20" s="51" t="s">
        <v>66</v>
      </c>
      <c r="E20" s="51" t="s">
        <v>64</v>
      </c>
      <c r="F20" s="51" t="s">
        <v>65</v>
      </c>
      <c r="G20" s="78">
        <v>0.72916666666666663</v>
      </c>
      <c r="H20" s="84"/>
      <c r="I20" s="78">
        <v>0.35416666666666602</v>
      </c>
      <c r="J20" s="78">
        <v>0.72916666666666663</v>
      </c>
      <c r="K20" s="79">
        <f>IFERROR(VLOOKUP(J20,기준!B:C,2,FALSE),"")-IFERROR(VLOOKUP(I20,기준!D:E,2,FALSE),"")</f>
        <v>0</v>
      </c>
      <c r="L20" s="78">
        <f>IFERROR(VLOOKUP(K20,기준!F:G,2,FALSE),"")</f>
        <v>0.72916666666666663</v>
      </c>
      <c r="M20" s="83">
        <f t="shared" si="1"/>
        <v>0</v>
      </c>
      <c r="N20" s="46" t="s">
        <v>55</v>
      </c>
      <c r="O20" s="78">
        <v>0.72916666666666663</v>
      </c>
      <c r="P20" s="82" t="s">
        <v>54</v>
      </c>
      <c r="Q20" s="82">
        <v>0</v>
      </c>
      <c r="R20" s="81" t="s">
        <v>55</v>
      </c>
      <c r="U20" s="44">
        <v>1</v>
      </c>
      <c r="V20" s="49">
        <f t="shared" si="2"/>
        <v>0</v>
      </c>
    </row>
    <row r="21" spans="1:22" x14ac:dyDescent="0.3">
      <c r="B21" s="51">
        <f t="shared" si="0"/>
        <v>15</v>
      </c>
      <c r="C21" s="51" t="s">
        <v>67</v>
      </c>
      <c r="D21" s="51" t="s">
        <v>2</v>
      </c>
      <c r="E21" s="51" t="s">
        <v>57</v>
      </c>
      <c r="F21" s="51" t="s">
        <v>52</v>
      </c>
      <c r="G21" s="78">
        <v>0.72916666666666663</v>
      </c>
      <c r="H21" s="84"/>
      <c r="I21" s="78">
        <v>0.35416666666666602</v>
      </c>
      <c r="J21" s="78">
        <v>0.72916666666666663</v>
      </c>
      <c r="K21" s="79">
        <f>IFERROR(VLOOKUP(J21,기준!B:C,2,FALSE),"")-IFERROR(VLOOKUP(I21,기준!D:E,2,FALSE),"")</f>
        <v>0</v>
      </c>
      <c r="L21" s="78">
        <f>IFERROR(VLOOKUP(K21,기준!F:G,2,FALSE),"")</f>
        <v>0.72916666666666663</v>
      </c>
      <c r="M21" s="83">
        <f t="shared" si="1"/>
        <v>0</v>
      </c>
      <c r="N21" s="46" t="s">
        <v>55</v>
      </c>
      <c r="O21" s="78">
        <v>0.72916666666666663</v>
      </c>
      <c r="P21" s="82"/>
      <c r="Q21" s="82">
        <v>0</v>
      </c>
      <c r="R21" s="81" t="s">
        <v>55</v>
      </c>
      <c r="U21" s="44">
        <v>1.0208333333333299</v>
      </c>
      <c r="V21" s="49">
        <f t="shared" si="2"/>
        <v>0</v>
      </c>
    </row>
    <row r="22" spans="1:22" x14ac:dyDescent="0.3">
      <c r="B22" s="51">
        <f t="shared" si="0"/>
        <v>16</v>
      </c>
      <c r="C22" s="51" t="s">
        <v>68</v>
      </c>
      <c r="D22" s="51" t="s">
        <v>69</v>
      </c>
      <c r="E22" s="51" t="s">
        <v>57</v>
      </c>
      <c r="F22" s="51" t="s">
        <v>52</v>
      </c>
      <c r="G22" s="78">
        <v>0.72916666666666663</v>
      </c>
      <c r="H22" s="82"/>
      <c r="I22" s="78">
        <v>0.35416666666666602</v>
      </c>
      <c r="J22" s="78">
        <v>0.72916666666666663</v>
      </c>
      <c r="K22" s="79">
        <f>IFERROR(VLOOKUP(J22,기준!B:C,2,FALSE),"")-IFERROR(VLOOKUP(I22,기준!D:E,2,FALSE),"")</f>
        <v>0</v>
      </c>
      <c r="L22" s="78">
        <f>IFERROR(VLOOKUP(K22,기준!F:G,2,FALSE),"")</f>
        <v>0.72916666666666663</v>
      </c>
      <c r="M22" s="83">
        <f t="shared" si="1"/>
        <v>0</v>
      </c>
      <c r="N22" s="46" t="s">
        <v>55</v>
      </c>
      <c r="O22" s="78">
        <v>0.72916666666666663</v>
      </c>
      <c r="P22" s="82"/>
      <c r="Q22" s="82">
        <v>0</v>
      </c>
      <c r="R22" s="81" t="s">
        <v>55</v>
      </c>
      <c r="U22" s="44">
        <v>1.0416666666666701</v>
      </c>
      <c r="V22" s="49">
        <f t="shared" si="2"/>
        <v>0</v>
      </c>
    </row>
    <row r="23" spans="1:22" x14ac:dyDescent="0.3">
      <c r="B23" s="51">
        <f t="shared" si="0"/>
        <v>17</v>
      </c>
      <c r="C23" s="51" t="s">
        <v>68</v>
      </c>
      <c r="D23" s="51" t="s">
        <v>69</v>
      </c>
      <c r="E23" s="51" t="s">
        <v>57</v>
      </c>
      <c r="F23" s="51" t="s">
        <v>52</v>
      </c>
      <c r="G23" s="78">
        <v>0.72916666666666663</v>
      </c>
      <c r="H23" s="82"/>
      <c r="I23" s="78">
        <v>0.35416666666666602</v>
      </c>
      <c r="J23" s="78">
        <v>0.72916666666666663</v>
      </c>
      <c r="K23" s="79">
        <f>IFERROR(VLOOKUP(J23,기준!B:C,2,FALSE),"")-IFERROR(VLOOKUP(I23,기준!D:E,2,FALSE),"")</f>
        <v>0</v>
      </c>
      <c r="L23" s="78">
        <f>IFERROR(VLOOKUP(K23,기준!F:G,2,FALSE),"")</f>
        <v>0.72916666666666663</v>
      </c>
      <c r="M23" s="83">
        <f t="shared" si="1"/>
        <v>0</v>
      </c>
      <c r="N23" s="46" t="s">
        <v>55</v>
      </c>
      <c r="O23" s="78">
        <v>0.72916666666666696</v>
      </c>
      <c r="P23" s="82"/>
      <c r="Q23" s="82">
        <v>0</v>
      </c>
      <c r="R23" s="81" t="s">
        <v>55</v>
      </c>
      <c r="U23" s="44">
        <v>1.0625</v>
      </c>
      <c r="V23" s="49">
        <f t="shared" si="2"/>
        <v>0</v>
      </c>
    </row>
    <row r="24" spans="1:22" x14ac:dyDescent="0.3">
      <c r="B24" s="51">
        <f t="shared" si="0"/>
        <v>18</v>
      </c>
      <c r="C24" s="51" t="s">
        <v>68</v>
      </c>
      <c r="D24" s="51" t="s">
        <v>69</v>
      </c>
      <c r="E24" s="51" t="s">
        <v>57</v>
      </c>
      <c r="F24" s="51" t="s">
        <v>52</v>
      </c>
      <c r="G24" s="78">
        <v>0.72916666666666663</v>
      </c>
      <c r="H24" s="82"/>
      <c r="I24" s="78">
        <v>0.35416666666666602</v>
      </c>
      <c r="J24" s="78">
        <v>0.72916666666666663</v>
      </c>
      <c r="K24" s="79">
        <f>IFERROR(VLOOKUP(J24,기준!B:C,2,FALSE),"")-IFERROR(VLOOKUP(I24,기준!D:E,2,FALSE),"")</f>
        <v>0</v>
      </c>
      <c r="L24" s="78">
        <f>IFERROR(VLOOKUP(K24,기준!F:G,2,FALSE),"")</f>
        <v>0.72916666666666663</v>
      </c>
      <c r="M24" s="83">
        <f t="shared" si="1"/>
        <v>0</v>
      </c>
      <c r="N24" s="46" t="s">
        <v>55</v>
      </c>
      <c r="O24" s="78">
        <v>0.72916666666666696</v>
      </c>
      <c r="P24" s="82"/>
      <c r="Q24" s="82">
        <v>0</v>
      </c>
      <c r="R24" s="81" t="s">
        <v>55</v>
      </c>
      <c r="U24" s="44">
        <v>1.0833333333333299</v>
      </c>
      <c r="V24" s="64">
        <f t="shared" si="2"/>
        <v>0</v>
      </c>
    </row>
    <row r="25" spans="1:22" x14ac:dyDescent="0.3">
      <c r="B25" s="51">
        <f t="shared" si="0"/>
        <v>19</v>
      </c>
      <c r="C25" s="51" t="s">
        <v>68</v>
      </c>
      <c r="D25" s="51" t="s">
        <v>69</v>
      </c>
      <c r="E25" s="51" t="s">
        <v>57</v>
      </c>
      <c r="F25" s="51" t="s">
        <v>52</v>
      </c>
      <c r="G25" s="78">
        <v>0.72916666666666663</v>
      </c>
      <c r="H25" s="82"/>
      <c r="I25" s="78">
        <v>0.35416666666666602</v>
      </c>
      <c r="J25" s="78">
        <v>0.72916666666666663</v>
      </c>
      <c r="K25" s="79">
        <f>IFERROR(VLOOKUP(J25,기준!B:C,2,FALSE),"")-IFERROR(VLOOKUP(I25,기준!D:E,2,FALSE),"")</f>
        <v>0</v>
      </c>
      <c r="L25" s="78">
        <f>IFERROR(VLOOKUP(K25,기준!F:G,2,FALSE),"")</f>
        <v>0.72916666666666663</v>
      </c>
      <c r="M25" s="83">
        <f t="shared" si="1"/>
        <v>0</v>
      </c>
      <c r="N25" s="46" t="s">
        <v>55</v>
      </c>
      <c r="O25" s="78">
        <v>0.72916666666666696</v>
      </c>
      <c r="P25" s="82"/>
      <c r="Q25" s="82">
        <v>0</v>
      </c>
      <c r="R25" s="81" t="s">
        <v>55</v>
      </c>
    </row>
    <row r="26" spans="1:22" x14ac:dyDescent="0.3">
      <c r="B26" s="51">
        <f t="shared" si="0"/>
        <v>20</v>
      </c>
      <c r="C26" s="51" t="s">
        <v>68</v>
      </c>
      <c r="D26" s="51" t="s">
        <v>69</v>
      </c>
      <c r="E26" s="51" t="s">
        <v>57</v>
      </c>
      <c r="F26" s="51" t="s">
        <v>52</v>
      </c>
      <c r="G26" s="78">
        <v>0.72916666666666663</v>
      </c>
      <c r="H26" s="82"/>
      <c r="I26" s="78">
        <v>0.35416666666666602</v>
      </c>
      <c r="J26" s="78">
        <v>0.72916666666666663</v>
      </c>
      <c r="K26" s="79">
        <f>IFERROR(VLOOKUP(J26,기준!B:C,2,FALSE),"")-IFERROR(VLOOKUP(I26,기준!D:E,2,FALSE),"")</f>
        <v>0</v>
      </c>
      <c r="L26" s="78">
        <f>IFERROR(VLOOKUP(K26,기준!F:G,2,FALSE),"")</f>
        <v>0.72916666666666663</v>
      </c>
      <c r="M26" s="83">
        <f t="shared" si="1"/>
        <v>0</v>
      </c>
      <c r="N26" s="46" t="s">
        <v>55</v>
      </c>
      <c r="O26" s="78">
        <v>0.72916666666666696</v>
      </c>
      <c r="P26" s="82"/>
      <c r="Q26" s="82">
        <v>0</v>
      </c>
      <c r="R26" s="81" t="s">
        <v>55</v>
      </c>
    </row>
    <row r="27" spans="1:22" x14ac:dyDescent="0.3">
      <c r="B27" s="51">
        <f t="shared" si="0"/>
        <v>21</v>
      </c>
      <c r="C27" s="51" t="s">
        <v>68</v>
      </c>
      <c r="D27" s="51" t="s">
        <v>69</v>
      </c>
      <c r="E27" s="51" t="s">
        <v>57</v>
      </c>
      <c r="F27" s="51" t="s">
        <v>52</v>
      </c>
      <c r="G27" s="78">
        <v>0.72916666666666663</v>
      </c>
      <c r="H27" s="82"/>
      <c r="I27" s="78">
        <v>0.35416666666666602</v>
      </c>
      <c r="J27" s="78">
        <v>0.72916666666666663</v>
      </c>
      <c r="K27" s="79">
        <f>IFERROR(VLOOKUP(J27,기준!B:C,2,FALSE),"")-IFERROR(VLOOKUP(I27,기준!D:E,2,FALSE),"")</f>
        <v>0</v>
      </c>
      <c r="L27" s="78">
        <f>IFERROR(VLOOKUP(K27,기준!F:G,2,FALSE),"")</f>
        <v>0.72916666666666663</v>
      </c>
      <c r="M27" s="83">
        <f t="shared" si="1"/>
        <v>0</v>
      </c>
      <c r="N27" s="46" t="s">
        <v>55</v>
      </c>
      <c r="O27" s="78">
        <v>0.72916666666666663</v>
      </c>
      <c r="P27" s="82"/>
      <c r="Q27" s="82">
        <v>0</v>
      </c>
      <c r="R27" s="81" t="s">
        <v>55</v>
      </c>
    </row>
    <row r="28" spans="1:22" x14ac:dyDescent="0.3">
      <c r="B28" s="51">
        <f t="shared" si="0"/>
        <v>22</v>
      </c>
      <c r="C28" s="51" t="s">
        <v>68</v>
      </c>
      <c r="D28" s="51" t="s">
        <v>69</v>
      </c>
      <c r="E28" s="51" t="s">
        <v>57</v>
      </c>
      <c r="F28" s="51" t="s">
        <v>52</v>
      </c>
      <c r="G28" s="78">
        <v>0.72916666666666663</v>
      </c>
      <c r="H28" s="82"/>
      <c r="I28" s="78">
        <v>0.35416666666666602</v>
      </c>
      <c r="J28" s="78">
        <v>0.72916666666666663</v>
      </c>
      <c r="K28" s="79">
        <f>IFERROR(VLOOKUP(J28,기준!B:C,2,FALSE),"")-IFERROR(VLOOKUP(I28,기준!D:E,2,FALSE),"")</f>
        <v>0</v>
      </c>
      <c r="L28" s="78">
        <f>IFERROR(VLOOKUP(K28,기준!F:G,2,FALSE),"")</f>
        <v>0.72916666666666663</v>
      </c>
      <c r="M28" s="83">
        <f t="shared" si="1"/>
        <v>0</v>
      </c>
      <c r="N28" s="46" t="s">
        <v>55</v>
      </c>
      <c r="O28" s="78">
        <v>0.72916666666666663</v>
      </c>
      <c r="P28" s="82"/>
      <c r="Q28" s="82">
        <v>0</v>
      </c>
      <c r="R28" s="81" t="s">
        <v>55</v>
      </c>
    </row>
    <row r="29" spans="1:22" x14ac:dyDescent="0.3">
      <c r="B29" s="51">
        <f t="shared" si="0"/>
        <v>23</v>
      </c>
      <c r="C29" s="51" t="s">
        <v>68</v>
      </c>
      <c r="D29" s="51" t="s">
        <v>69</v>
      </c>
      <c r="E29" s="51" t="s">
        <v>57</v>
      </c>
      <c r="F29" s="51" t="s">
        <v>52</v>
      </c>
      <c r="G29" s="78">
        <v>0.72916666666666663</v>
      </c>
      <c r="H29" s="82"/>
      <c r="I29" s="78">
        <v>0.35416666666666602</v>
      </c>
      <c r="J29" s="78">
        <v>0.72916666666666663</v>
      </c>
      <c r="K29" s="79">
        <f>IFERROR(VLOOKUP(J29,기준!B:C,2,FALSE),"")-IFERROR(VLOOKUP(I29,기준!D:E,2,FALSE),"")</f>
        <v>0</v>
      </c>
      <c r="L29" s="78">
        <f>IFERROR(VLOOKUP(K29,기준!F:G,2,FALSE),"")</f>
        <v>0.72916666666666663</v>
      </c>
      <c r="M29" s="83">
        <f t="shared" si="1"/>
        <v>0</v>
      </c>
      <c r="N29" s="46" t="s">
        <v>55</v>
      </c>
      <c r="O29" s="78">
        <v>0.72916666666666696</v>
      </c>
      <c r="P29" s="82"/>
      <c r="Q29" s="82">
        <v>0</v>
      </c>
      <c r="R29" s="81" t="s">
        <v>55</v>
      </c>
    </row>
    <row r="30" spans="1:22" x14ac:dyDescent="0.3">
      <c r="B30" s="51">
        <f t="shared" si="0"/>
        <v>24</v>
      </c>
      <c r="C30" s="51" t="s">
        <v>68</v>
      </c>
      <c r="D30" s="51" t="s">
        <v>69</v>
      </c>
      <c r="E30" s="51" t="s">
        <v>57</v>
      </c>
      <c r="F30" s="51" t="s">
        <v>52</v>
      </c>
      <c r="G30" s="78">
        <v>0.72916666666666663</v>
      </c>
      <c r="H30" s="82"/>
      <c r="I30" s="78">
        <v>0.35416666666666602</v>
      </c>
      <c r="J30" s="78">
        <v>0.72916666666666663</v>
      </c>
      <c r="K30" s="79">
        <f>IFERROR(VLOOKUP(J30,기준!B:C,2,FALSE),"")-IFERROR(VLOOKUP(I30,기준!D:E,2,FALSE),"")</f>
        <v>0</v>
      </c>
      <c r="L30" s="78">
        <f>IFERROR(VLOOKUP(K30,기준!F:G,2,FALSE),"")</f>
        <v>0.72916666666666663</v>
      </c>
      <c r="M30" s="83">
        <f t="shared" si="1"/>
        <v>0</v>
      </c>
      <c r="N30" s="46" t="s">
        <v>55</v>
      </c>
      <c r="O30" s="78">
        <v>0.72916666666666696</v>
      </c>
      <c r="P30" s="82"/>
      <c r="Q30" s="82">
        <v>0</v>
      </c>
      <c r="R30" s="81" t="s">
        <v>55</v>
      </c>
    </row>
    <row r="31" spans="1:22" x14ac:dyDescent="0.3">
      <c r="B31" s="51">
        <f t="shared" si="0"/>
        <v>25</v>
      </c>
      <c r="C31" s="51" t="s">
        <v>68</v>
      </c>
      <c r="D31" s="51" t="s">
        <v>69</v>
      </c>
      <c r="E31" s="51" t="s">
        <v>57</v>
      </c>
      <c r="F31" s="51" t="s">
        <v>52</v>
      </c>
      <c r="G31" s="78">
        <v>0.72916666666666663</v>
      </c>
      <c r="H31" s="82"/>
      <c r="I31" s="78">
        <v>0.35416666666666602</v>
      </c>
      <c r="J31" s="78">
        <v>0.72916666666666663</v>
      </c>
      <c r="K31" s="79">
        <f>IFERROR(VLOOKUP(J31,기준!B:C,2,FALSE),"")-IFERROR(VLOOKUP(I31,기준!D:E,2,FALSE),"")</f>
        <v>0</v>
      </c>
      <c r="L31" s="78">
        <f>IFERROR(VLOOKUP(K31,기준!F:G,2,FALSE),"")</f>
        <v>0.72916666666666663</v>
      </c>
      <c r="M31" s="83">
        <f t="shared" si="1"/>
        <v>0</v>
      </c>
      <c r="N31" s="46" t="s">
        <v>55</v>
      </c>
      <c r="O31" s="78">
        <v>0.72916666666666696</v>
      </c>
      <c r="P31" s="82"/>
      <c r="Q31" s="82">
        <v>0</v>
      </c>
      <c r="R31" s="81" t="s">
        <v>55</v>
      </c>
    </row>
    <row r="32" spans="1:22" x14ac:dyDescent="0.3">
      <c r="B32" s="51">
        <f t="shared" si="0"/>
        <v>26</v>
      </c>
      <c r="C32" s="51" t="s">
        <v>68</v>
      </c>
      <c r="D32" s="51" t="s">
        <v>69</v>
      </c>
      <c r="E32" s="51" t="s">
        <v>57</v>
      </c>
      <c r="F32" s="51" t="s">
        <v>52</v>
      </c>
      <c r="G32" s="78">
        <v>0.72916666666666663</v>
      </c>
      <c r="H32" s="82"/>
      <c r="I32" s="78">
        <v>0.35416666666666602</v>
      </c>
      <c r="J32" s="78">
        <v>0.72916666666666663</v>
      </c>
      <c r="K32" s="79">
        <f>IFERROR(VLOOKUP(J32,기준!B:C,2,FALSE),"")-IFERROR(VLOOKUP(I32,기준!D:E,2,FALSE),"")</f>
        <v>0</v>
      </c>
      <c r="L32" s="78">
        <f>IFERROR(VLOOKUP(K32,기준!F:G,2,FALSE),"")</f>
        <v>0.72916666666666663</v>
      </c>
      <c r="M32" s="83">
        <f t="shared" si="1"/>
        <v>0</v>
      </c>
      <c r="N32" s="46" t="s">
        <v>55</v>
      </c>
      <c r="O32" s="78">
        <v>0.72916666666666696</v>
      </c>
      <c r="P32" s="82"/>
      <c r="Q32" s="82">
        <v>0</v>
      </c>
      <c r="R32" s="81" t="s">
        <v>55</v>
      </c>
    </row>
    <row r="33" spans="2:18" x14ac:dyDescent="0.3">
      <c r="B33" s="51">
        <f t="shared" si="0"/>
        <v>27</v>
      </c>
      <c r="C33" s="51" t="s">
        <v>68</v>
      </c>
      <c r="D33" s="51" t="s">
        <v>69</v>
      </c>
      <c r="E33" s="51" t="s">
        <v>57</v>
      </c>
      <c r="F33" s="51" t="s">
        <v>52</v>
      </c>
      <c r="G33" s="78">
        <v>0.72916666666666663</v>
      </c>
      <c r="H33" s="82"/>
      <c r="I33" s="78">
        <v>0.35416666666666602</v>
      </c>
      <c r="J33" s="78">
        <v>0.72916666666666663</v>
      </c>
      <c r="K33" s="79">
        <f>IFERROR(VLOOKUP(J33,기준!B:C,2,FALSE),"")-IFERROR(VLOOKUP(I33,기준!D:E,2,FALSE),"")</f>
        <v>0</v>
      </c>
      <c r="L33" s="78">
        <f>IFERROR(VLOOKUP(K33,기준!F:G,2,FALSE),"")</f>
        <v>0.72916666666666663</v>
      </c>
      <c r="M33" s="83">
        <f t="shared" si="1"/>
        <v>0</v>
      </c>
      <c r="N33" s="46" t="s">
        <v>55</v>
      </c>
      <c r="O33" s="78">
        <v>0.72916666666666663</v>
      </c>
      <c r="P33" s="82"/>
      <c r="Q33" s="82">
        <v>0</v>
      </c>
      <c r="R33" s="81" t="s">
        <v>55</v>
      </c>
    </row>
    <row r="34" spans="2:18" x14ac:dyDescent="0.3">
      <c r="B34" s="51">
        <f t="shared" si="0"/>
        <v>28</v>
      </c>
      <c r="C34" s="51" t="s">
        <v>68</v>
      </c>
      <c r="D34" s="51" t="s">
        <v>69</v>
      </c>
      <c r="E34" s="51" t="s">
        <v>57</v>
      </c>
      <c r="F34" s="51" t="s">
        <v>52</v>
      </c>
      <c r="G34" s="78">
        <v>0.72916666666666663</v>
      </c>
      <c r="H34" s="82"/>
      <c r="I34" s="78">
        <v>0.35416666666666602</v>
      </c>
      <c r="J34" s="78">
        <v>0.72916666666666663</v>
      </c>
      <c r="K34" s="79">
        <f>IFERROR(VLOOKUP(J34,기준!B:C,2,FALSE),"")-IFERROR(VLOOKUP(I34,기준!D:E,2,FALSE),"")</f>
        <v>0</v>
      </c>
      <c r="L34" s="78">
        <f>IFERROR(VLOOKUP(K34,기준!F:G,2,FALSE),"")</f>
        <v>0.72916666666666663</v>
      </c>
      <c r="M34" s="83">
        <f t="shared" si="1"/>
        <v>0</v>
      </c>
      <c r="N34" s="46" t="s">
        <v>55</v>
      </c>
      <c r="O34" s="78">
        <v>0.72916666666666663</v>
      </c>
      <c r="P34" s="82"/>
      <c r="Q34" s="82">
        <v>0</v>
      </c>
      <c r="R34" s="81" t="s">
        <v>55</v>
      </c>
    </row>
    <row r="35" spans="2:18" x14ac:dyDescent="0.3">
      <c r="B35" s="51">
        <f t="shared" si="0"/>
        <v>29</v>
      </c>
      <c r="C35" s="51" t="s">
        <v>68</v>
      </c>
      <c r="D35" s="51" t="s">
        <v>69</v>
      </c>
      <c r="E35" s="51" t="s">
        <v>57</v>
      </c>
      <c r="F35" s="51" t="s">
        <v>52</v>
      </c>
      <c r="G35" s="78">
        <v>0.72916666666666663</v>
      </c>
      <c r="H35" s="82"/>
      <c r="I35" s="78">
        <v>0.35416666666666602</v>
      </c>
      <c r="J35" s="78">
        <v>0.72916666666666663</v>
      </c>
      <c r="K35" s="79">
        <f>IFERROR(VLOOKUP(J35,기준!B:C,2,FALSE),"")-IFERROR(VLOOKUP(I35,기준!D:E,2,FALSE),"")</f>
        <v>0</v>
      </c>
      <c r="L35" s="78">
        <f>IFERROR(VLOOKUP(K35,기준!F:G,2,FALSE),"")</f>
        <v>0.72916666666666663</v>
      </c>
      <c r="M35" s="83">
        <f t="shared" si="1"/>
        <v>0</v>
      </c>
      <c r="N35" s="46" t="s">
        <v>55</v>
      </c>
      <c r="O35" s="78">
        <v>0.72916666666666696</v>
      </c>
      <c r="P35" s="82"/>
      <c r="Q35" s="82">
        <v>0</v>
      </c>
      <c r="R35" s="81" t="s">
        <v>55</v>
      </c>
    </row>
    <row r="36" spans="2:18" x14ac:dyDescent="0.3">
      <c r="B36" s="51">
        <f t="shared" si="0"/>
        <v>30</v>
      </c>
      <c r="C36" s="51" t="s">
        <v>68</v>
      </c>
      <c r="D36" s="51" t="s">
        <v>69</v>
      </c>
      <c r="E36" s="51" t="s">
        <v>57</v>
      </c>
      <c r="F36" s="51" t="s">
        <v>52</v>
      </c>
      <c r="G36" s="78">
        <v>0.72916666666666663</v>
      </c>
      <c r="H36" s="82"/>
      <c r="I36" s="78">
        <v>0.35416666666666602</v>
      </c>
      <c r="J36" s="78">
        <v>0.72916666666666663</v>
      </c>
      <c r="K36" s="79">
        <f>IFERROR(VLOOKUP(J36,기준!B:C,2,FALSE),"")-IFERROR(VLOOKUP(I36,기준!D:E,2,FALSE),"")</f>
        <v>0</v>
      </c>
      <c r="L36" s="78">
        <f>IFERROR(VLOOKUP(K36,기준!F:G,2,FALSE),"")</f>
        <v>0.72916666666666663</v>
      </c>
      <c r="M36" s="83">
        <f t="shared" si="1"/>
        <v>0</v>
      </c>
      <c r="N36" s="46" t="s">
        <v>55</v>
      </c>
      <c r="O36" s="78">
        <v>0.72916666666666696</v>
      </c>
      <c r="P36" s="82"/>
      <c r="Q36" s="82">
        <v>0</v>
      </c>
      <c r="R36" s="81" t="s">
        <v>55</v>
      </c>
    </row>
    <row r="37" spans="2:18" x14ac:dyDescent="0.3">
      <c r="B37" s="51">
        <f t="shared" si="0"/>
        <v>31</v>
      </c>
      <c r="C37" s="51" t="s">
        <v>68</v>
      </c>
      <c r="D37" s="51" t="s">
        <v>69</v>
      </c>
      <c r="E37" s="51" t="s">
        <v>57</v>
      </c>
      <c r="F37" s="51" t="s">
        <v>52</v>
      </c>
      <c r="G37" s="78">
        <v>0.72916666666666663</v>
      </c>
      <c r="H37" s="82"/>
      <c r="I37" s="78">
        <v>0.35416666666666602</v>
      </c>
      <c r="J37" s="78">
        <v>0.72916666666666663</v>
      </c>
      <c r="K37" s="79">
        <f>IFERROR(VLOOKUP(J37,기준!B:C,2,FALSE),"")-IFERROR(VLOOKUP(I37,기준!D:E,2,FALSE),"")</f>
        <v>0</v>
      </c>
      <c r="L37" s="78">
        <f>IFERROR(VLOOKUP(K37,기준!F:G,2,FALSE),"")</f>
        <v>0.72916666666666663</v>
      </c>
      <c r="M37" s="83">
        <f t="shared" si="1"/>
        <v>0</v>
      </c>
      <c r="N37" s="46" t="s">
        <v>55</v>
      </c>
      <c r="O37" s="78">
        <v>0.72916666666666696</v>
      </c>
      <c r="P37" s="82"/>
      <c r="Q37" s="82">
        <v>0</v>
      </c>
      <c r="R37" s="81" t="s">
        <v>55</v>
      </c>
    </row>
    <row r="38" spans="2:18" x14ac:dyDescent="0.3">
      <c r="B38" s="51">
        <f t="shared" si="0"/>
        <v>32</v>
      </c>
      <c r="C38" s="51" t="s">
        <v>68</v>
      </c>
      <c r="D38" s="51" t="s">
        <v>69</v>
      </c>
      <c r="E38" s="51" t="s">
        <v>57</v>
      </c>
      <c r="F38" s="51" t="s">
        <v>52</v>
      </c>
      <c r="G38" s="78">
        <v>0.72916666666666663</v>
      </c>
      <c r="H38" s="82"/>
      <c r="I38" s="78">
        <v>0.35416666666666602</v>
      </c>
      <c r="J38" s="78">
        <v>0.72916666666666663</v>
      </c>
      <c r="K38" s="79">
        <f>IFERROR(VLOOKUP(J38,기준!B:C,2,FALSE),"")-IFERROR(VLOOKUP(I38,기준!D:E,2,FALSE),"")</f>
        <v>0</v>
      </c>
      <c r="L38" s="78">
        <f>IFERROR(VLOOKUP(K38,기준!F:G,2,FALSE),"")</f>
        <v>0.72916666666666663</v>
      </c>
      <c r="M38" s="83">
        <f t="shared" si="1"/>
        <v>0</v>
      </c>
      <c r="N38" s="46" t="s">
        <v>55</v>
      </c>
      <c r="O38" s="78">
        <v>0.72916666666666696</v>
      </c>
      <c r="P38" s="82"/>
      <c r="Q38" s="82">
        <v>0</v>
      </c>
      <c r="R38" s="81" t="s">
        <v>55</v>
      </c>
    </row>
    <row r="39" spans="2:18" x14ac:dyDescent="0.3">
      <c r="B39" s="51">
        <f t="shared" si="0"/>
        <v>33</v>
      </c>
      <c r="C39" s="51" t="s">
        <v>68</v>
      </c>
      <c r="D39" s="51" t="s">
        <v>69</v>
      </c>
      <c r="E39" s="51" t="s">
        <v>57</v>
      </c>
      <c r="F39" s="51" t="s">
        <v>52</v>
      </c>
      <c r="G39" s="78">
        <v>0.72916666666666663</v>
      </c>
      <c r="H39" s="82"/>
      <c r="I39" s="78">
        <v>0.35416666666666602</v>
      </c>
      <c r="J39" s="78">
        <v>0.72916666666666663</v>
      </c>
      <c r="K39" s="79">
        <f>IFERROR(VLOOKUP(J39,기준!B:C,2,FALSE),"")-IFERROR(VLOOKUP(I39,기준!D:E,2,FALSE),"")</f>
        <v>0</v>
      </c>
      <c r="L39" s="78">
        <f>IFERROR(VLOOKUP(K39,기준!F:G,2,FALSE),"")</f>
        <v>0.72916666666666663</v>
      </c>
      <c r="M39" s="83">
        <f t="shared" si="1"/>
        <v>0</v>
      </c>
      <c r="N39" s="46" t="s">
        <v>55</v>
      </c>
      <c r="O39" s="78">
        <v>0.72916666666666663</v>
      </c>
      <c r="P39" s="82"/>
      <c r="Q39" s="82">
        <v>0</v>
      </c>
      <c r="R39" s="81" t="s">
        <v>55</v>
      </c>
    </row>
    <row r="40" spans="2:18" x14ac:dyDescent="0.3">
      <c r="B40" s="51">
        <f t="shared" si="0"/>
        <v>34</v>
      </c>
      <c r="C40" s="51" t="s">
        <v>68</v>
      </c>
      <c r="D40" s="51" t="s">
        <v>69</v>
      </c>
      <c r="E40" s="51" t="s">
        <v>57</v>
      </c>
      <c r="F40" s="51" t="s">
        <v>52</v>
      </c>
      <c r="G40" s="78">
        <v>0.72916666666666663</v>
      </c>
      <c r="H40" s="82"/>
      <c r="I40" s="78">
        <v>0.35416666666666602</v>
      </c>
      <c r="J40" s="78">
        <v>0.72916666666666663</v>
      </c>
      <c r="K40" s="79">
        <f>IFERROR(VLOOKUP(J40,기준!B:C,2,FALSE),"")-IFERROR(VLOOKUP(I40,기준!D:E,2,FALSE),"")</f>
        <v>0</v>
      </c>
      <c r="L40" s="78">
        <f>IFERROR(VLOOKUP(K40,기준!F:G,2,FALSE),"")</f>
        <v>0.72916666666666663</v>
      </c>
      <c r="M40" s="83">
        <f t="shared" si="1"/>
        <v>0</v>
      </c>
      <c r="N40" s="46" t="s">
        <v>55</v>
      </c>
      <c r="O40" s="78">
        <v>0.72916666666666663</v>
      </c>
      <c r="P40" s="82"/>
      <c r="Q40" s="82">
        <v>0</v>
      </c>
      <c r="R40" s="81" t="s">
        <v>55</v>
      </c>
    </row>
    <row r="41" spans="2:18" x14ac:dyDescent="0.3">
      <c r="B41" s="51">
        <f t="shared" si="0"/>
        <v>35</v>
      </c>
      <c r="C41" s="51" t="s">
        <v>68</v>
      </c>
      <c r="D41" s="51" t="s">
        <v>69</v>
      </c>
      <c r="E41" s="51" t="s">
        <v>57</v>
      </c>
      <c r="F41" s="51" t="s">
        <v>52</v>
      </c>
      <c r="G41" s="78">
        <v>0.72916666666666663</v>
      </c>
      <c r="H41" s="82"/>
      <c r="I41" s="78">
        <v>0.35416666666666602</v>
      </c>
      <c r="J41" s="78">
        <v>0.72916666666666663</v>
      </c>
      <c r="K41" s="79">
        <f>IFERROR(VLOOKUP(J41,기준!B:C,2,FALSE),"")-IFERROR(VLOOKUP(I41,기준!D:E,2,FALSE),"")</f>
        <v>0</v>
      </c>
      <c r="L41" s="78">
        <f>IFERROR(VLOOKUP(K41,기준!F:G,2,FALSE),"")</f>
        <v>0.72916666666666663</v>
      </c>
      <c r="M41" s="83">
        <f t="shared" si="1"/>
        <v>0</v>
      </c>
      <c r="N41" s="46" t="s">
        <v>55</v>
      </c>
      <c r="O41" s="78">
        <v>0.72916666666666696</v>
      </c>
      <c r="P41" s="82"/>
      <c r="Q41" s="82">
        <v>0</v>
      </c>
      <c r="R41" s="81" t="s">
        <v>55</v>
      </c>
    </row>
    <row r="42" spans="2:18" x14ac:dyDescent="0.3">
      <c r="B42" s="51">
        <f t="shared" si="0"/>
        <v>36</v>
      </c>
      <c r="C42" s="51" t="s">
        <v>68</v>
      </c>
      <c r="D42" s="51" t="s">
        <v>69</v>
      </c>
      <c r="E42" s="51" t="s">
        <v>57</v>
      </c>
      <c r="F42" s="51" t="s">
        <v>52</v>
      </c>
      <c r="G42" s="78">
        <v>0.72916666666666663</v>
      </c>
      <c r="H42" s="82"/>
      <c r="I42" s="78">
        <v>0.35416666666666602</v>
      </c>
      <c r="J42" s="78">
        <v>0.72916666666666663</v>
      </c>
      <c r="K42" s="79">
        <f>IFERROR(VLOOKUP(J42,기준!B:C,2,FALSE),"")-IFERROR(VLOOKUP(I42,기준!D:E,2,FALSE),"")</f>
        <v>0</v>
      </c>
      <c r="L42" s="78">
        <f>IFERROR(VLOOKUP(K42,기준!F:G,2,FALSE),"")</f>
        <v>0.72916666666666663</v>
      </c>
      <c r="M42" s="83">
        <f t="shared" si="1"/>
        <v>0</v>
      </c>
      <c r="N42" s="46" t="s">
        <v>55</v>
      </c>
      <c r="O42" s="78">
        <v>0.72916666666666696</v>
      </c>
      <c r="P42" s="82"/>
      <c r="Q42" s="82">
        <v>0</v>
      </c>
      <c r="R42" s="81" t="s">
        <v>55</v>
      </c>
    </row>
    <row r="43" spans="2:18" x14ac:dyDescent="0.3">
      <c r="B43" s="51">
        <f t="shared" si="0"/>
        <v>37</v>
      </c>
      <c r="C43" s="51" t="s">
        <v>68</v>
      </c>
      <c r="D43" s="51" t="s">
        <v>69</v>
      </c>
      <c r="E43" s="51" t="s">
        <v>57</v>
      </c>
      <c r="F43" s="51" t="s">
        <v>52</v>
      </c>
      <c r="G43" s="78">
        <v>0.72916666666666663</v>
      </c>
      <c r="H43" s="82"/>
      <c r="I43" s="78">
        <v>0.35416666666666602</v>
      </c>
      <c r="J43" s="78">
        <v>0.72916666666666663</v>
      </c>
      <c r="K43" s="79">
        <f>IFERROR(VLOOKUP(J43,기준!B:C,2,FALSE),"")-IFERROR(VLOOKUP(I43,기준!D:E,2,FALSE),"")</f>
        <v>0</v>
      </c>
      <c r="L43" s="78">
        <f>IFERROR(VLOOKUP(K43,기준!F:G,2,FALSE),"")</f>
        <v>0.72916666666666663</v>
      </c>
      <c r="M43" s="83">
        <f t="shared" si="1"/>
        <v>0</v>
      </c>
      <c r="N43" s="46" t="s">
        <v>55</v>
      </c>
      <c r="O43" s="78">
        <v>0.72916666666666696</v>
      </c>
      <c r="P43" s="82"/>
      <c r="Q43" s="82">
        <v>0</v>
      </c>
      <c r="R43" s="81" t="s">
        <v>55</v>
      </c>
    </row>
  </sheetData>
  <mergeCells count="15">
    <mergeCell ref="R5:R6"/>
    <mergeCell ref="O4:Q4"/>
    <mergeCell ref="G5:H5"/>
    <mergeCell ref="I5:K5"/>
    <mergeCell ref="L5:L6"/>
    <mergeCell ref="M5:M6"/>
    <mergeCell ref="N5:N6"/>
    <mergeCell ref="O5:P5"/>
    <mergeCell ref="Q5:Q6"/>
    <mergeCell ref="G4:M4"/>
    <mergeCell ref="B4:B6"/>
    <mergeCell ref="C4:C6"/>
    <mergeCell ref="D4:D6"/>
    <mergeCell ref="E4:E6"/>
    <mergeCell ref="F4:F6"/>
  </mergeCells>
  <phoneticPr fontId="1" type="noConversion"/>
  <dataValidations count="1">
    <dataValidation type="list" allowBlank="1" showInputMessage="1" showErrorMessage="1" sqref="O7:O43" xr:uid="{FDE8D584-698D-45FE-B337-8DA2CC088C16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5105-3C65-49AE-A48A-07714573986D}">
  <dimension ref="A1:V43"/>
  <sheetViews>
    <sheetView showGridLines="0" topLeftCell="A7" workbookViewId="0">
      <selection activeCell="L19" sqref="L19"/>
    </sheetView>
  </sheetViews>
  <sheetFormatPr defaultRowHeight="16.5" x14ac:dyDescent="0.3"/>
  <cols>
    <col min="1" max="1" width="1.625" customWidth="1"/>
    <col min="2" max="2" width="15.875" bestFit="1" customWidth="1"/>
    <col min="12" max="12" width="17.375" customWidth="1"/>
    <col min="14" max="14" width="19.375" bestFit="1" customWidth="1"/>
    <col min="18" max="18" width="22.75" bestFit="1" customWidth="1"/>
    <col min="19" max="19" width="10.5" hidden="1" customWidth="1"/>
    <col min="20" max="20" width="8.875" customWidth="1"/>
    <col min="21" max="21" width="10.375" hidden="1" customWidth="1"/>
    <col min="22" max="22" width="9" hidden="1" customWidth="1"/>
  </cols>
  <sheetData>
    <row r="1" spans="1:22" x14ac:dyDescent="0.3">
      <c r="A1" s="17"/>
      <c r="B1" s="17"/>
      <c r="C1" s="17"/>
      <c r="D1" s="17"/>
      <c r="E1" s="17"/>
      <c r="F1" s="17"/>
      <c r="G1" s="18"/>
      <c r="H1" s="19"/>
      <c r="I1" s="19"/>
      <c r="J1" s="18"/>
      <c r="K1" s="19"/>
      <c r="L1" s="19"/>
      <c r="M1" s="19"/>
      <c r="N1" s="17"/>
      <c r="O1" s="18"/>
      <c r="P1" s="19"/>
      <c r="Q1" s="19"/>
      <c r="R1" s="17"/>
      <c r="S1" s="20"/>
    </row>
    <row r="2" spans="1:22" x14ac:dyDescent="0.3">
      <c r="A2" s="17"/>
      <c r="B2" s="21" t="s">
        <v>28</v>
      </c>
      <c r="C2" s="22"/>
      <c r="D2" s="22"/>
      <c r="E2" s="22"/>
      <c r="F2" s="22"/>
      <c r="G2" s="23"/>
      <c r="H2" s="24"/>
      <c r="I2" s="24"/>
      <c r="J2" s="23"/>
      <c r="K2" s="24"/>
      <c r="L2" s="24"/>
      <c r="M2" s="24"/>
      <c r="N2" s="22"/>
      <c r="O2" s="23"/>
      <c r="P2" s="24"/>
      <c r="Q2" s="24"/>
      <c r="R2" s="22"/>
      <c r="S2" s="25"/>
    </row>
    <row r="3" spans="1:22" x14ac:dyDescent="0.3">
      <c r="A3" s="17"/>
      <c r="B3" s="26">
        <v>46104</v>
      </c>
      <c r="C3" s="26"/>
      <c r="D3" s="26"/>
      <c r="E3" s="26"/>
      <c r="F3" s="27" t="s">
        <v>29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2" ht="16.5" customHeight="1" x14ac:dyDescent="0.3">
      <c r="A4" s="17"/>
      <c r="B4" s="105" t="s">
        <v>30</v>
      </c>
      <c r="C4" s="105" t="s">
        <v>31</v>
      </c>
      <c r="D4" s="105" t="s">
        <v>25</v>
      </c>
      <c r="E4" s="105" t="s">
        <v>32</v>
      </c>
      <c r="F4" s="105" t="s">
        <v>33</v>
      </c>
      <c r="G4" s="102" t="s">
        <v>34</v>
      </c>
      <c r="H4" s="103"/>
      <c r="I4" s="103"/>
      <c r="J4" s="103"/>
      <c r="K4" s="103"/>
      <c r="L4" s="103"/>
      <c r="M4" s="104"/>
      <c r="N4" s="28">
        <f>B3-1</f>
        <v>46103</v>
      </c>
      <c r="O4" s="87" t="s">
        <v>35</v>
      </c>
      <c r="P4" s="88"/>
      <c r="Q4" s="89"/>
      <c r="R4" s="29">
        <f>B3</f>
        <v>46104</v>
      </c>
      <c r="S4" s="30" t="s">
        <v>36</v>
      </c>
      <c r="U4" s="31" t="s">
        <v>37</v>
      </c>
      <c r="V4" s="32"/>
    </row>
    <row r="5" spans="1:22" ht="16.5" customHeight="1" x14ac:dyDescent="0.3">
      <c r="A5" s="17"/>
      <c r="B5" s="106"/>
      <c r="C5" s="106"/>
      <c r="D5" s="106"/>
      <c r="E5" s="106"/>
      <c r="F5" s="106"/>
      <c r="G5" s="90" t="s">
        <v>38</v>
      </c>
      <c r="H5" s="91"/>
      <c r="I5" s="92" t="s">
        <v>39</v>
      </c>
      <c r="J5" s="93"/>
      <c r="K5" s="91"/>
      <c r="L5" s="94" t="s">
        <v>40</v>
      </c>
      <c r="M5" s="96" t="s">
        <v>41</v>
      </c>
      <c r="N5" s="94" t="s">
        <v>43</v>
      </c>
      <c r="O5" s="98" t="s">
        <v>44</v>
      </c>
      <c r="P5" s="99"/>
      <c r="Q5" s="100" t="s">
        <v>41</v>
      </c>
      <c r="R5" s="85" t="s">
        <v>42</v>
      </c>
      <c r="S5" s="33"/>
      <c r="U5" s="34"/>
      <c r="V5" s="35"/>
    </row>
    <row r="6" spans="1:22" x14ac:dyDescent="0.3">
      <c r="A6" s="17"/>
      <c r="B6" s="106"/>
      <c r="C6" s="106"/>
      <c r="D6" s="106"/>
      <c r="E6" s="106"/>
      <c r="F6" s="106"/>
      <c r="G6" s="36" t="s">
        <v>45</v>
      </c>
      <c r="H6" s="37"/>
      <c r="I6" s="37" t="s">
        <v>46</v>
      </c>
      <c r="J6" s="37" t="s">
        <v>45</v>
      </c>
      <c r="K6" s="37"/>
      <c r="L6" s="95"/>
      <c r="M6" s="97"/>
      <c r="N6" s="95"/>
      <c r="O6" s="38" t="s">
        <v>45</v>
      </c>
      <c r="P6" s="39" t="s">
        <v>38</v>
      </c>
      <c r="Q6" s="107"/>
      <c r="R6" s="86"/>
      <c r="S6" s="33"/>
      <c r="U6" s="36" t="s">
        <v>47</v>
      </c>
      <c r="V6" s="40" t="s">
        <v>48</v>
      </c>
    </row>
    <row r="7" spans="1:22" x14ac:dyDescent="0.3">
      <c r="A7" s="17"/>
      <c r="B7" s="41">
        <f t="shared" ref="B7:B43" si="0">+ROW()-6</f>
        <v>1</v>
      </c>
      <c r="C7" s="41" t="s">
        <v>49</v>
      </c>
      <c r="D7" s="41" t="s">
        <v>50</v>
      </c>
      <c r="E7" s="41" t="s">
        <v>51</v>
      </c>
      <c r="F7" s="41" t="s">
        <v>52</v>
      </c>
      <c r="G7" s="42">
        <v>0.72916666666666663</v>
      </c>
      <c r="H7" s="43"/>
      <c r="I7" s="44">
        <v>0.35416666666666602</v>
      </c>
      <c r="J7" s="44">
        <v>0.72916666666666663</v>
      </c>
      <c r="K7" s="43">
        <f>IF(OR(I7="",J7=""),0,
IF(AND(HOUR(I7)=8,MINUTE(I7)=30),
   IF(IF(J7&lt;I7,J7+1,J7)&lt;TIME(18,0,0),0,
      IF(IF(J7&lt;I7,J7+1,J7)&lt;=TIME(19,30,0),
         ROUND((IF(J7&lt;I7,J7+1,J7)-TIME(17,30,0))*24,1),
         ROUND((IF(J7&lt;I7,J7+1,J7)-TIME(18,30,0))*24,1)
      )
   ),
   IF(AND(HOUR(I7)=10,MINUTE(I7)=0),
      IF(IF(J7&lt;I7,J7+1,J7)&lt;=TIME(20,0,0),0,
         ROUND((IF(J7&lt;I7,J7+1,J7)-TIME(20,0,0))*24,1)
      ),
      0
   )
))</f>
        <v>0</v>
      </c>
      <c r="L7" s="44">
        <f>IFERROR(VLOOKUP(K7,기준!F:G,2,FALSE),"")</f>
        <v>0.72916666666666663</v>
      </c>
      <c r="M7" s="45">
        <f t="shared" ref="M7:M43" si="1">K7</f>
        <v>0</v>
      </c>
      <c r="N7" s="46" t="s">
        <v>76</v>
      </c>
      <c r="O7" s="42">
        <v>0.72916666666666663</v>
      </c>
      <c r="P7" s="43" t="s">
        <v>54</v>
      </c>
      <c r="Q7" s="47">
        <v>0</v>
      </c>
      <c r="R7" s="46" t="s">
        <v>53</v>
      </c>
      <c r="S7" s="48" t="s">
        <v>55</v>
      </c>
      <c r="U7" s="44">
        <v>0.35416666666666602</v>
      </c>
      <c r="V7" s="49">
        <f>COUNTIF($I$7:$I$19,U7)</f>
        <v>13</v>
      </c>
    </row>
    <row r="8" spans="1:22" x14ac:dyDescent="0.3">
      <c r="A8" s="17"/>
      <c r="B8" s="50">
        <f t="shared" si="0"/>
        <v>2</v>
      </c>
      <c r="C8" s="51" t="s">
        <v>56</v>
      </c>
      <c r="D8" s="50" t="s">
        <v>14</v>
      </c>
      <c r="E8" s="50" t="s">
        <v>57</v>
      </c>
      <c r="F8" s="51" t="s">
        <v>52</v>
      </c>
      <c r="G8" s="44">
        <v>0.72916666666666663</v>
      </c>
      <c r="H8" s="43"/>
      <c r="I8" s="44">
        <v>0.35416666666666602</v>
      </c>
      <c r="J8" s="44">
        <v>0.72916666666666663</v>
      </c>
      <c r="K8" s="43">
        <f t="shared" ref="K8:K18" si="2">IF(OR(I8="",J8=""),0,
IF(AND(HOUR(I8)=8,MINUTE(I8)=30),
   IF(IF(J8&lt;I8,J8+1,J8)&lt;TIME(18,0,0),0,
      IF(IF(J8&lt;I8,J8+1,J8)&lt;=TIME(19,30,0),
         ROUND((IF(J8&lt;I8,J8+1,J8)-TIME(17,30,0))*24,1),
         ROUND((IF(J8&lt;I8,J8+1,J8)-TIME(18,30,0))*24,1)
      )
   ),
   IF(AND(HOUR(I8)=10,MINUTE(I8)=0),
      IF(IF(J8&lt;I8,J8+1,J8)&lt;=TIME(20,0,0),0,
         ROUND((IF(J8&lt;I8,J8+1,J8)-TIME(20,0,0))*24,1)
      ),
      0
   )
))</f>
        <v>0</v>
      </c>
      <c r="L8" s="44">
        <f>IFERROR(VLOOKUP(K8,기준!F:G,2,FALSE),"")</f>
        <v>0.72916666666666663</v>
      </c>
      <c r="M8" s="52">
        <f t="shared" si="1"/>
        <v>0</v>
      </c>
      <c r="N8" s="46" t="s">
        <v>55</v>
      </c>
      <c r="O8" s="42">
        <v>0.72916666666666663</v>
      </c>
      <c r="P8" s="53"/>
      <c r="Q8" s="54">
        <v>0</v>
      </c>
      <c r="R8" s="46" t="s">
        <v>53</v>
      </c>
      <c r="S8" s="48" t="s">
        <v>55</v>
      </c>
      <c r="U8" s="44">
        <v>0.39583333333333298</v>
      </c>
      <c r="V8" s="49">
        <f>COUNTIF($I$7:$I$19,U8)</f>
        <v>0</v>
      </c>
    </row>
    <row r="9" spans="1:22" x14ac:dyDescent="0.3">
      <c r="A9" s="17"/>
      <c r="B9" s="50">
        <f t="shared" si="0"/>
        <v>3</v>
      </c>
      <c r="C9" s="41" t="s">
        <v>49</v>
      </c>
      <c r="D9" s="50" t="s">
        <v>13</v>
      </c>
      <c r="E9" s="50" t="s">
        <v>57</v>
      </c>
      <c r="F9" s="50" t="s">
        <v>52</v>
      </c>
      <c r="G9" s="42">
        <v>0.72916666666666663</v>
      </c>
      <c r="H9" s="53"/>
      <c r="I9" s="44">
        <v>0.35416666666666602</v>
      </c>
      <c r="J9" s="44">
        <v>0.72916666666666663</v>
      </c>
      <c r="K9" s="43">
        <f t="shared" si="2"/>
        <v>0</v>
      </c>
      <c r="L9" s="44">
        <f>IFERROR(VLOOKUP(K9,기준!F:G,2,FALSE),"")</f>
        <v>0.72916666666666663</v>
      </c>
      <c r="M9" s="52">
        <f t="shared" si="1"/>
        <v>0</v>
      </c>
      <c r="N9" s="46" t="s">
        <v>55</v>
      </c>
      <c r="O9" s="42">
        <v>0.72916666666666663</v>
      </c>
      <c r="P9" s="53" t="s">
        <v>54</v>
      </c>
      <c r="Q9" s="54">
        <v>0</v>
      </c>
      <c r="R9" s="46" t="s">
        <v>53</v>
      </c>
      <c r="S9" s="48" t="s">
        <v>58</v>
      </c>
      <c r="U9" s="44">
        <v>0.41666666666666602</v>
      </c>
      <c r="V9" s="49">
        <f>COUNTIF($I$7:$I$19,U9)</f>
        <v>0</v>
      </c>
    </row>
    <row r="10" spans="1:22" x14ac:dyDescent="0.3">
      <c r="A10" s="17"/>
      <c r="B10" s="50">
        <f t="shared" si="0"/>
        <v>4</v>
      </c>
      <c r="C10" s="41" t="s">
        <v>49</v>
      </c>
      <c r="D10" s="50" t="s">
        <v>59</v>
      </c>
      <c r="E10" s="50" t="s">
        <v>57</v>
      </c>
      <c r="F10" s="50" t="s">
        <v>52</v>
      </c>
      <c r="G10" s="42">
        <v>0.72916666666666663</v>
      </c>
      <c r="H10" s="53"/>
      <c r="I10" s="44">
        <v>0.35416666666666602</v>
      </c>
      <c r="J10" s="44">
        <v>0.72916666666666663</v>
      </c>
      <c r="K10" s="43">
        <f t="shared" si="2"/>
        <v>0</v>
      </c>
      <c r="L10" s="44">
        <f>IFERROR(VLOOKUP(K10,기준!F:G,2,FALSE),"")</f>
        <v>0.72916666666666663</v>
      </c>
      <c r="M10" s="52">
        <f t="shared" si="1"/>
        <v>0</v>
      </c>
      <c r="N10" s="46" t="s">
        <v>55</v>
      </c>
      <c r="O10" s="42">
        <v>0.72916666666666663</v>
      </c>
      <c r="P10" s="53"/>
      <c r="Q10" s="54">
        <v>0</v>
      </c>
      <c r="R10" s="46" t="s">
        <v>53</v>
      </c>
      <c r="S10" s="48"/>
      <c r="U10" s="44">
        <v>0.5625</v>
      </c>
      <c r="V10" s="49">
        <f>COUNTIF($I$7:$I$19,U10)</f>
        <v>0</v>
      </c>
    </row>
    <row r="11" spans="1:22" x14ac:dyDescent="0.3">
      <c r="A11" s="17"/>
      <c r="B11" s="50">
        <f t="shared" si="0"/>
        <v>5</v>
      </c>
      <c r="C11" s="41" t="s">
        <v>49</v>
      </c>
      <c r="D11" s="50" t="s">
        <v>11</v>
      </c>
      <c r="E11" s="50" t="s">
        <v>57</v>
      </c>
      <c r="F11" s="50" t="s">
        <v>52</v>
      </c>
      <c r="G11" s="42">
        <v>0.72916666666666663</v>
      </c>
      <c r="H11" s="55"/>
      <c r="I11" s="44">
        <v>0.35416666666666602</v>
      </c>
      <c r="J11" s="44">
        <v>0.72916666666666663</v>
      </c>
      <c r="K11" s="43">
        <f t="shared" si="2"/>
        <v>0</v>
      </c>
      <c r="L11" s="44">
        <f>IFERROR(VLOOKUP(K11,기준!F:G,2,FALSE),"")</f>
        <v>0.72916666666666663</v>
      </c>
      <c r="M11" s="52">
        <f t="shared" si="1"/>
        <v>0</v>
      </c>
      <c r="N11" s="46" t="s">
        <v>55</v>
      </c>
      <c r="O11" s="42">
        <v>0.72916666666666663</v>
      </c>
      <c r="P11" s="53" t="s">
        <v>54</v>
      </c>
      <c r="Q11" s="54">
        <v>0</v>
      </c>
      <c r="R11" s="46" t="s">
        <v>53</v>
      </c>
      <c r="S11" s="48"/>
      <c r="U11" s="44">
        <v>0.72916666666666663</v>
      </c>
      <c r="V11" s="49">
        <f t="shared" ref="V11:V24" si="3">COUNTIF($J$7:$J$19,U11)</f>
        <v>13</v>
      </c>
    </row>
    <row r="12" spans="1:22" x14ac:dyDescent="0.3">
      <c r="A12" s="17"/>
      <c r="B12" s="50">
        <f t="shared" si="0"/>
        <v>6</v>
      </c>
      <c r="C12" s="41" t="s">
        <v>49</v>
      </c>
      <c r="D12" s="50" t="s">
        <v>60</v>
      </c>
      <c r="E12" s="50" t="s">
        <v>57</v>
      </c>
      <c r="F12" s="50" t="s">
        <v>52</v>
      </c>
      <c r="G12" s="42">
        <v>0.72916666666666663</v>
      </c>
      <c r="H12" s="53"/>
      <c r="I12" s="44">
        <v>0.35416666666666602</v>
      </c>
      <c r="J12" s="44">
        <v>0.72916666666666663</v>
      </c>
      <c r="K12" s="43">
        <f t="shared" si="2"/>
        <v>0</v>
      </c>
      <c r="L12" s="44">
        <f>IFERROR(VLOOKUP(K12,기준!F:G,2,FALSE),"")</f>
        <v>0.72916666666666663</v>
      </c>
      <c r="M12" s="52">
        <f t="shared" si="1"/>
        <v>0</v>
      </c>
      <c r="N12" s="46" t="s">
        <v>55</v>
      </c>
      <c r="O12" s="42">
        <v>0.72916666666666696</v>
      </c>
      <c r="P12" s="53"/>
      <c r="Q12" s="54">
        <v>0</v>
      </c>
      <c r="R12" s="46" t="s">
        <v>53</v>
      </c>
      <c r="S12" s="48"/>
      <c r="U12" s="44">
        <v>0.75</v>
      </c>
      <c r="V12" s="49">
        <f t="shared" si="3"/>
        <v>0</v>
      </c>
    </row>
    <row r="13" spans="1:22" ht="17.25" customHeight="1" x14ac:dyDescent="0.3">
      <c r="A13" s="17"/>
      <c r="B13" s="50">
        <f t="shared" si="0"/>
        <v>7</v>
      </c>
      <c r="C13" s="41" t="s">
        <v>49</v>
      </c>
      <c r="D13" s="50" t="s">
        <v>61</v>
      </c>
      <c r="E13" s="50" t="s">
        <v>57</v>
      </c>
      <c r="F13" s="50" t="s">
        <v>52</v>
      </c>
      <c r="G13" s="42">
        <v>0.72916666666666663</v>
      </c>
      <c r="H13" s="53"/>
      <c r="I13" s="44">
        <v>0.35416666666666602</v>
      </c>
      <c r="J13" s="44">
        <v>0.72916666666666663</v>
      </c>
      <c r="K13" s="43">
        <f t="shared" si="2"/>
        <v>0</v>
      </c>
      <c r="L13" s="44">
        <f>IFERROR(VLOOKUP(K13,기준!F:G,2,FALSE),"")</f>
        <v>0.72916666666666663</v>
      </c>
      <c r="M13" s="52">
        <f t="shared" si="1"/>
        <v>0</v>
      </c>
      <c r="N13" s="46" t="s">
        <v>55</v>
      </c>
      <c r="O13" s="42">
        <v>0.72916666666666696</v>
      </c>
      <c r="P13" s="53"/>
      <c r="Q13" s="54">
        <v>0</v>
      </c>
      <c r="R13" s="46" t="s">
        <v>53</v>
      </c>
      <c r="S13" s="48"/>
      <c r="U13" s="44">
        <v>0.77083333333333304</v>
      </c>
      <c r="V13" s="49">
        <f t="shared" si="3"/>
        <v>0</v>
      </c>
    </row>
    <row r="14" spans="1:22" x14ac:dyDescent="0.3">
      <c r="A14" s="17"/>
      <c r="B14" s="50">
        <f t="shared" si="0"/>
        <v>8</v>
      </c>
      <c r="C14" s="41" t="s">
        <v>49</v>
      </c>
      <c r="D14" s="50" t="s">
        <v>8</v>
      </c>
      <c r="E14" s="50" t="s">
        <v>57</v>
      </c>
      <c r="F14" s="50" t="s">
        <v>62</v>
      </c>
      <c r="G14" s="42">
        <v>0.72916666666666663</v>
      </c>
      <c r="H14" s="55"/>
      <c r="I14" s="44">
        <v>0.35416666666666602</v>
      </c>
      <c r="J14" s="44">
        <v>0.72916666666666663</v>
      </c>
      <c r="K14" s="43">
        <f t="shared" si="2"/>
        <v>0</v>
      </c>
      <c r="L14" s="44">
        <f>IFERROR(VLOOKUP(K14,기준!F:G,2,FALSE),"")</f>
        <v>0.72916666666666663</v>
      </c>
      <c r="M14" s="52">
        <f t="shared" si="1"/>
        <v>0</v>
      </c>
      <c r="N14" s="46" t="s">
        <v>55</v>
      </c>
      <c r="O14" s="42">
        <v>0.72916666666666696</v>
      </c>
      <c r="P14" s="53"/>
      <c r="Q14" s="54">
        <v>0</v>
      </c>
      <c r="R14" s="46" t="s">
        <v>53</v>
      </c>
      <c r="S14" s="48"/>
      <c r="U14" s="44">
        <v>0.79166666666666696</v>
      </c>
      <c r="V14" s="49">
        <f t="shared" si="3"/>
        <v>0</v>
      </c>
    </row>
    <row r="15" spans="1:22" x14ac:dyDescent="0.3">
      <c r="A15" s="17"/>
      <c r="B15" s="50">
        <f t="shared" si="0"/>
        <v>9</v>
      </c>
      <c r="C15" s="51" t="s">
        <v>56</v>
      </c>
      <c r="D15" s="50" t="s">
        <v>7</v>
      </c>
      <c r="E15" s="50" t="s">
        <v>57</v>
      </c>
      <c r="F15" s="50" t="s">
        <v>62</v>
      </c>
      <c r="G15" s="42">
        <v>0.72916666666666663</v>
      </c>
      <c r="H15" s="55"/>
      <c r="I15" s="44">
        <v>0.35416666666666602</v>
      </c>
      <c r="J15" s="44">
        <v>0.72916666666666663</v>
      </c>
      <c r="K15" s="43">
        <f t="shared" si="2"/>
        <v>0</v>
      </c>
      <c r="L15" s="44">
        <f>IFERROR(VLOOKUP(K15,기준!F:G,2,FALSE),"")</f>
        <v>0.72916666666666663</v>
      </c>
      <c r="M15" s="52">
        <f t="shared" si="1"/>
        <v>0</v>
      </c>
      <c r="N15" s="46" t="s">
        <v>55</v>
      </c>
      <c r="O15" s="42">
        <v>0.72916666666666696</v>
      </c>
      <c r="P15" s="53"/>
      <c r="Q15" s="54">
        <v>0</v>
      </c>
      <c r="R15" s="46" t="s">
        <v>53</v>
      </c>
      <c r="S15" s="48"/>
      <c r="U15" s="44"/>
      <c r="V15" s="49"/>
    </row>
    <row r="16" spans="1:22" x14ac:dyDescent="0.3">
      <c r="A16" s="17"/>
      <c r="B16" s="50">
        <f t="shared" si="0"/>
        <v>10</v>
      </c>
      <c r="C16" s="51" t="s">
        <v>63</v>
      </c>
      <c r="D16" s="50" t="s">
        <v>5</v>
      </c>
      <c r="E16" s="50" t="s">
        <v>64</v>
      </c>
      <c r="F16" s="50" t="s">
        <v>65</v>
      </c>
      <c r="G16" s="42">
        <v>0.72916666666666663</v>
      </c>
      <c r="H16" s="53"/>
      <c r="I16" s="44">
        <v>0.35416666666666602</v>
      </c>
      <c r="J16" s="44">
        <v>0.72916666666666663</v>
      </c>
      <c r="K16" s="43">
        <f t="shared" si="2"/>
        <v>0</v>
      </c>
      <c r="L16" s="44">
        <f>IFERROR(VLOOKUP(K16,기준!F:G,2,FALSE),"")</f>
        <v>0.72916666666666663</v>
      </c>
      <c r="M16" s="52">
        <f t="shared" si="1"/>
        <v>0</v>
      </c>
      <c r="N16" s="46" t="s">
        <v>55</v>
      </c>
      <c r="O16" s="42">
        <v>0.72916666666666663</v>
      </c>
      <c r="P16" s="53" t="s">
        <v>54</v>
      </c>
      <c r="Q16" s="54">
        <v>0</v>
      </c>
      <c r="R16" s="46" t="s">
        <v>53</v>
      </c>
      <c r="S16" s="48" t="s">
        <v>55</v>
      </c>
      <c r="U16" s="44">
        <v>0.8125</v>
      </c>
      <c r="V16" s="49">
        <f t="shared" si="3"/>
        <v>0</v>
      </c>
    </row>
    <row r="17" spans="1:22" x14ac:dyDescent="0.3">
      <c r="A17" s="17"/>
      <c r="B17" s="50">
        <f t="shared" si="0"/>
        <v>11</v>
      </c>
      <c r="C17" s="41" t="s">
        <v>49</v>
      </c>
      <c r="D17" s="50" t="s">
        <v>66</v>
      </c>
      <c r="E17" s="50" t="s">
        <v>64</v>
      </c>
      <c r="F17" s="50" t="s">
        <v>65</v>
      </c>
      <c r="G17" s="42">
        <v>0.72916666666666663</v>
      </c>
      <c r="H17" s="55"/>
      <c r="I17" s="44">
        <v>0.35416666666666602</v>
      </c>
      <c r="J17" s="44">
        <v>0.72916666666666663</v>
      </c>
      <c r="K17" s="43">
        <f t="shared" si="2"/>
        <v>0</v>
      </c>
      <c r="L17" s="44">
        <f>IFERROR(VLOOKUP(K17,기준!F:G,2,FALSE),"")</f>
        <v>0.72916666666666663</v>
      </c>
      <c r="M17" s="52">
        <f t="shared" si="1"/>
        <v>0</v>
      </c>
      <c r="N17" s="46" t="s">
        <v>55</v>
      </c>
      <c r="O17" s="42">
        <v>0.72916666666666663</v>
      </c>
      <c r="P17" s="53" t="s">
        <v>54</v>
      </c>
      <c r="Q17" s="54">
        <v>0</v>
      </c>
      <c r="R17" s="46" t="s">
        <v>53</v>
      </c>
      <c r="S17" s="48" t="s">
        <v>58</v>
      </c>
      <c r="U17" s="42">
        <v>0.83333333333333337</v>
      </c>
      <c r="V17" s="49">
        <f t="shared" si="3"/>
        <v>0</v>
      </c>
    </row>
    <row r="18" spans="1:22" x14ac:dyDescent="0.3">
      <c r="A18" s="17"/>
      <c r="B18" s="50">
        <f t="shared" si="0"/>
        <v>12</v>
      </c>
      <c r="C18" s="50" t="s">
        <v>67</v>
      </c>
      <c r="D18" s="50" t="s">
        <v>2</v>
      </c>
      <c r="E18" s="50" t="s">
        <v>57</v>
      </c>
      <c r="F18" s="50" t="s">
        <v>52</v>
      </c>
      <c r="G18" s="42">
        <v>0.72916666666666663</v>
      </c>
      <c r="H18" s="55"/>
      <c r="I18" s="44">
        <v>0.35416666666666602</v>
      </c>
      <c r="J18" s="44">
        <v>0.72916666666666663</v>
      </c>
      <c r="K18" s="43">
        <f t="shared" si="2"/>
        <v>0</v>
      </c>
      <c r="L18" s="44">
        <f>IFERROR(VLOOKUP(K18,기준!F:G,2,FALSE),"")</f>
        <v>0.72916666666666663</v>
      </c>
      <c r="M18" s="52">
        <f t="shared" si="1"/>
        <v>0</v>
      </c>
      <c r="N18" s="46" t="s">
        <v>55</v>
      </c>
      <c r="O18" s="42">
        <v>0.72916666666666696</v>
      </c>
      <c r="P18" s="53"/>
      <c r="Q18" s="54">
        <v>0</v>
      </c>
      <c r="R18" s="46" t="s">
        <v>53</v>
      </c>
      <c r="S18" s="48"/>
      <c r="U18" s="44">
        <v>0.875000000000001</v>
      </c>
      <c r="V18" s="49">
        <f t="shared" si="3"/>
        <v>0</v>
      </c>
    </row>
    <row r="19" spans="1:22" x14ac:dyDescent="0.3">
      <c r="A19" s="17"/>
      <c r="B19" s="56">
        <f t="shared" si="0"/>
        <v>13</v>
      </c>
      <c r="C19" s="56" t="s">
        <v>68</v>
      </c>
      <c r="D19" s="56" t="s">
        <v>69</v>
      </c>
      <c r="E19" s="56" t="s">
        <v>57</v>
      </c>
      <c r="F19" s="56" t="s">
        <v>52</v>
      </c>
      <c r="G19" s="57">
        <v>0.72916666666666663</v>
      </c>
      <c r="H19" s="58"/>
      <c r="I19" s="59">
        <v>0.35416666666666602</v>
      </c>
      <c r="J19" s="59">
        <v>0.72916666666666663</v>
      </c>
      <c r="K19" s="60">
        <f>IFERROR(VLOOKUP(J19,[1]기준!B:C,2,FALSE),"")-IFERROR(VLOOKUP(I19,[1]기준!D:E,2,FALSE),"")</f>
        <v>0</v>
      </c>
      <c r="L19" s="44">
        <f>IFERROR(VLOOKUP(K19,기준!F:G,2,FALSE),"")</f>
        <v>0.72916666666666663</v>
      </c>
      <c r="M19" s="61">
        <f t="shared" si="1"/>
        <v>0</v>
      </c>
      <c r="N19" s="62" t="s">
        <v>53</v>
      </c>
      <c r="O19" s="57">
        <v>0.72916666666666696</v>
      </c>
      <c r="P19" s="58"/>
      <c r="Q19" s="63">
        <v>0</v>
      </c>
      <c r="R19" s="62" t="s">
        <v>55</v>
      </c>
      <c r="S19" s="48"/>
      <c r="U19" s="44">
        <v>0.89583333333333404</v>
      </c>
      <c r="V19" s="49">
        <f t="shared" si="3"/>
        <v>0</v>
      </c>
    </row>
    <row r="20" spans="1:22" x14ac:dyDescent="0.3">
      <c r="B20" s="51">
        <f t="shared" si="0"/>
        <v>14</v>
      </c>
      <c r="C20" s="77" t="s">
        <v>49</v>
      </c>
      <c r="D20" s="51" t="s">
        <v>66</v>
      </c>
      <c r="E20" s="51" t="s">
        <v>64</v>
      </c>
      <c r="F20" s="51" t="s">
        <v>65</v>
      </c>
      <c r="G20" s="78">
        <v>0.72916666666666663</v>
      </c>
      <c r="H20" s="84"/>
      <c r="I20" s="78">
        <v>0.35416666666666602</v>
      </c>
      <c r="J20" s="78">
        <v>0.72916666666666663</v>
      </c>
      <c r="K20" s="79">
        <f>IFERROR(VLOOKUP(J20,기준!B:C,2,FALSE),"")-IFERROR(VLOOKUP(I20,기준!D:E,2,FALSE),"")</f>
        <v>0</v>
      </c>
      <c r="L20" s="78">
        <f>IFERROR(VLOOKUP(K20,기준!F:G,2,FALSE),"")</f>
        <v>0.72916666666666663</v>
      </c>
      <c r="M20" s="83">
        <f t="shared" si="1"/>
        <v>0</v>
      </c>
      <c r="N20" s="46" t="s">
        <v>53</v>
      </c>
      <c r="O20" s="78">
        <v>0.72916666666666663</v>
      </c>
      <c r="P20" s="82" t="s">
        <v>54</v>
      </c>
      <c r="Q20" s="82">
        <v>0</v>
      </c>
      <c r="R20" s="81" t="s">
        <v>55</v>
      </c>
      <c r="U20" s="44">
        <v>1</v>
      </c>
      <c r="V20" s="49">
        <f t="shared" si="3"/>
        <v>0</v>
      </c>
    </row>
    <row r="21" spans="1:22" x14ac:dyDescent="0.3">
      <c r="B21" s="51">
        <f t="shared" si="0"/>
        <v>15</v>
      </c>
      <c r="C21" s="51" t="s">
        <v>67</v>
      </c>
      <c r="D21" s="51" t="s">
        <v>2</v>
      </c>
      <c r="E21" s="51" t="s">
        <v>57</v>
      </c>
      <c r="F21" s="51" t="s">
        <v>52</v>
      </c>
      <c r="G21" s="78">
        <v>0.72916666666666663</v>
      </c>
      <c r="H21" s="84"/>
      <c r="I21" s="78">
        <v>0.35416666666666602</v>
      </c>
      <c r="J21" s="78">
        <v>0.72916666666666663</v>
      </c>
      <c r="K21" s="79">
        <f>IFERROR(VLOOKUP(J21,기준!B:C,2,FALSE),"")-IFERROR(VLOOKUP(I21,기준!D:E,2,FALSE),"")</f>
        <v>0</v>
      </c>
      <c r="L21" s="78">
        <f>IFERROR(VLOOKUP(K21,기준!F:G,2,FALSE),"")</f>
        <v>0.72916666666666663</v>
      </c>
      <c r="M21" s="83">
        <f t="shared" si="1"/>
        <v>0</v>
      </c>
      <c r="N21" s="46" t="s">
        <v>53</v>
      </c>
      <c r="O21" s="78">
        <v>0.72916666666666663</v>
      </c>
      <c r="P21" s="82"/>
      <c r="Q21" s="82">
        <v>0</v>
      </c>
      <c r="R21" s="81" t="s">
        <v>55</v>
      </c>
      <c r="U21" s="44">
        <v>1.0208333333333299</v>
      </c>
      <c r="V21" s="49">
        <f t="shared" si="3"/>
        <v>0</v>
      </c>
    </row>
    <row r="22" spans="1:22" x14ac:dyDescent="0.3">
      <c r="B22" s="51">
        <f t="shared" si="0"/>
        <v>16</v>
      </c>
      <c r="C22" s="51" t="s">
        <v>68</v>
      </c>
      <c r="D22" s="51" t="s">
        <v>69</v>
      </c>
      <c r="E22" s="51" t="s">
        <v>57</v>
      </c>
      <c r="F22" s="51" t="s">
        <v>52</v>
      </c>
      <c r="G22" s="78">
        <v>0.72916666666666663</v>
      </c>
      <c r="H22" s="82"/>
      <c r="I22" s="78">
        <v>0.35416666666666602</v>
      </c>
      <c r="J22" s="78">
        <v>0.72916666666666663</v>
      </c>
      <c r="K22" s="79">
        <f>IFERROR(VLOOKUP(J22,기준!B:C,2,FALSE),"")-IFERROR(VLOOKUP(I22,기준!D:E,2,FALSE),"")</f>
        <v>0</v>
      </c>
      <c r="L22" s="78">
        <f>IFERROR(VLOOKUP(K22,기준!F:G,2,FALSE),"")</f>
        <v>0.72916666666666663</v>
      </c>
      <c r="M22" s="83">
        <f t="shared" si="1"/>
        <v>0</v>
      </c>
      <c r="N22" s="46" t="s">
        <v>53</v>
      </c>
      <c r="O22" s="78">
        <v>0.72916666666666663</v>
      </c>
      <c r="P22" s="82"/>
      <c r="Q22" s="82">
        <v>0</v>
      </c>
      <c r="R22" s="81" t="s">
        <v>55</v>
      </c>
      <c r="U22" s="44">
        <v>1.0416666666666701</v>
      </c>
      <c r="V22" s="49">
        <f t="shared" si="3"/>
        <v>0</v>
      </c>
    </row>
    <row r="23" spans="1:22" x14ac:dyDescent="0.3">
      <c r="B23" s="51">
        <f t="shared" si="0"/>
        <v>17</v>
      </c>
      <c r="C23" s="51" t="s">
        <v>68</v>
      </c>
      <c r="D23" s="51" t="s">
        <v>69</v>
      </c>
      <c r="E23" s="51" t="s">
        <v>57</v>
      </c>
      <c r="F23" s="51" t="s">
        <v>52</v>
      </c>
      <c r="G23" s="78">
        <v>0.72916666666666663</v>
      </c>
      <c r="H23" s="82"/>
      <c r="I23" s="78">
        <v>0.35416666666666602</v>
      </c>
      <c r="J23" s="78">
        <v>0.72916666666666663</v>
      </c>
      <c r="K23" s="79">
        <f>IFERROR(VLOOKUP(J23,기준!B:C,2,FALSE),"")-IFERROR(VLOOKUP(I23,기준!D:E,2,FALSE),"")</f>
        <v>0</v>
      </c>
      <c r="L23" s="78">
        <f>IFERROR(VLOOKUP(K23,기준!F:G,2,FALSE),"")</f>
        <v>0.72916666666666663</v>
      </c>
      <c r="M23" s="83">
        <f t="shared" si="1"/>
        <v>0</v>
      </c>
      <c r="N23" s="46" t="s">
        <v>53</v>
      </c>
      <c r="O23" s="78">
        <v>0.72916666666666696</v>
      </c>
      <c r="P23" s="82"/>
      <c r="Q23" s="82">
        <v>0</v>
      </c>
      <c r="R23" s="81" t="s">
        <v>55</v>
      </c>
      <c r="U23" s="44">
        <v>1.0625</v>
      </c>
      <c r="V23" s="49">
        <f t="shared" si="3"/>
        <v>0</v>
      </c>
    </row>
    <row r="24" spans="1:22" x14ac:dyDescent="0.3">
      <c r="B24" s="51">
        <f t="shared" si="0"/>
        <v>18</v>
      </c>
      <c r="C24" s="51" t="s">
        <v>68</v>
      </c>
      <c r="D24" s="51" t="s">
        <v>69</v>
      </c>
      <c r="E24" s="51" t="s">
        <v>57</v>
      </c>
      <c r="F24" s="51" t="s">
        <v>52</v>
      </c>
      <c r="G24" s="78">
        <v>0.72916666666666663</v>
      </c>
      <c r="H24" s="82"/>
      <c r="I24" s="78">
        <v>0.35416666666666602</v>
      </c>
      <c r="J24" s="78">
        <v>0.72916666666666663</v>
      </c>
      <c r="K24" s="79">
        <f>IFERROR(VLOOKUP(J24,기준!B:C,2,FALSE),"")-IFERROR(VLOOKUP(I24,기준!D:E,2,FALSE),"")</f>
        <v>0</v>
      </c>
      <c r="L24" s="78">
        <f>IFERROR(VLOOKUP(K24,기준!F:G,2,FALSE),"")</f>
        <v>0.72916666666666663</v>
      </c>
      <c r="M24" s="83">
        <f t="shared" si="1"/>
        <v>0</v>
      </c>
      <c r="N24" s="46" t="s">
        <v>53</v>
      </c>
      <c r="O24" s="78">
        <v>0.72916666666666696</v>
      </c>
      <c r="P24" s="82"/>
      <c r="Q24" s="82">
        <v>0</v>
      </c>
      <c r="R24" s="81" t="s">
        <v>55</v>
      </c>
      <c r="U24" s="44">
        <v>1.0833333333333299</v>
      </c>
      <c r="V24" s="64">
        <f t="shared" si="3"/>
        <v>0</v>
      </c>
    </row>
    <row r="25" spans="1:22" x14ac:dyDescent="0.3">
      <c r="B25" s="51">
        <f t="shared" si="0"/>
        <v>19</v>
      </c>
      <c r="C25" s="51" t="s">
        <v>68</v>
      </c>
      <c r="D25" s="51" t="s">
        <v>69</v>
      </c>
      <c r="E25" s="51" t="s">
        <v>57</v>
      </c>
      <c r="F25" s="51" t="s">
        <v>52</v>
      </c>
      <c r="G25" s="78">
        <v>0.72916666666666663</v>
      </c>
      <c r="H25" s="82"/>
      <c r="I25" s="78">
        <v>0.35416666666666602</v>
      </c>
      <c r="J25" s="78">
        <v>0.72916666666666663</v>
      </c>
      <c r="K25" s="79">
        <f>IFERROR(VLOOKUP(J25,기준!B:C,2,FALSE),"")-IFERROR(VLOOKUP(I25,기준!D:E,2,FALSE),"")</f>
        <v>0</v>
      </c>
      <c r="L25" s="78">
        <f>IFERROR(VLOOKUP(K25,기준!F:G,2,FALSE),"")</f>
        <v>0.72916666666666663</v>
      </c>
      <c r="M25" s="83">
        <f t="shared" si="1"/>
        <v>0</v>
      </c>
      <c r="N25" s="46" t="s">
        <v>53</v>
      </c>
      <c r="O25" s="78">
        <v>0.72916666666666696</v>
      </c>
      <c r="P25" s="82"/>
      <c r="Q25" s="82">
        <v>0</v>
      </c>
      <c r="R25" s="81" t="s">
        <v>55</v>
      </c>
    </row>
    <row r="26" spans="1:22" x14ac:dyDescent="0.3">
      <c r="B26" s="51">
        <f t="shared" si="0"/>
        <v>20</v>
      </c>
      <c r="C26" s="51" t="s">
        <v>68</v>
      </c>
      <c r="D26" s="51" t="s">
        <v>69</v>
      </c>
      <c r="E26" s="51" t="s">
        <v>57</v>
      </c>
      <c r="F26" s="51" t="s">
        <v>52</v>
      </c>
      <c r="G26" s="78">
        <v>0.72916666666666663</v>
      </c>
      <c r="H26" s="82"/>
      <c r="I26" s="78">
        <v>0.35416666666666602</v>
      </c>
      <c r="J26" s="78">
        <v>0.72916666666666663</v>
      </c>
      <c r="K26" s="79">
        <f>IFERROR(VLOOKUP(J26,기준!B:C,2,FALSE),"")-IFERROR(VLOOKUP(I26,기준!D:E,2,FALSE),"")</f>
        <v>0</v>
      </c>
      <c r="L26" s="78">
        <f>IFERROR(VLOOKUP(K26,기준!F:G,2,FALSE),"")</f>
        <v>0.72916666666666663</v>
      </c>
      <c r="M26" s="83">
        <f t="shared" si="1"/>
        <v>0</v>
      </c>
      <c r="N26" s="46" t="s">
        <v>53</v>
      </c>
      <c r="O26" s="78">
        <v>0.72916666666666696</v>
      </c>
      <c r="P26" s="82"/>
      <c r="Q26" s="82">
        <v>0</v>
      </c>
      <c r="R26" s="81" t="s">
        <v>55</v>
      </c>
    </row>
    <row r="27" spans="1:22" x14ac:dyDescent="0.3">
      <c r="B27" s="51">
        <f t="shared" si="0"/>
        <v>21</v>
      </c>
      <c r="C27" s="51" t="s">
        <v>68</v>
      </c>
      <c r="D27" s="51" t="s">
        <v>69</v>
      </c>
      <c r="E27" s="51" t="s">
        <v>57</v>
      </c>
      <c r="F27" s="51" t="s">
        <v>52</v>
      </c>
      <c r="G27" s="78">
        <v>0.72916666666666663</v>
      </c>
      <c r="H27" s="82"/>
      <c r="I27" s="78">
        <v>0.35416666666666602</v>
      </c>
      <c r="J27" s="78">
        <v>0.72916666666666663</v>
      </c>
      <c r="K27" s="79">
        <f>IFERROR(VLOOKUP(J27,기준!B:C,2,FALSE),"")-IFERROR(VLOOKUP(I27,기준!D:E,2,FALSE),"")</f>
        <v>0</v>
      </c>
      <c r="L27" s="78">
        <f>IFERROR(VLOOKUP(K27,기준!F:G,2,FALSE),"")</f>
        <v>0.72916666666666663</v>
      </c>
      <c r="M27" s="83">
        <f t="shared" si="1"/>
        <v>0</v>
      </c>
      <c r="N27" s="46" t="s">
        <v>53</v>
      </c>
      <c r="O27" s="78">
        <v>0.72916666666666663</v>
      </c>
      <c r="P27" s="82"/>
      <c r="Q27" s="82">
        <v>0</v>
      </c>
      <c r="R27" s="81" t="s">
        <v>55</v>
      </c>
    </row>
    <row r="28" spans="1:22" x14ac:dyDescent="0.3">
      <c r="B28" s="51">
        <f t="shared" si="0"/>
        <v>22</v>
      </c>
      <c r="C28" s="51" t="s">
        <v>68</v>
      </c>
      <c r="D28" s="51" t="s">
        <v>69</v>
      </c>
      <c r="E28" s="51" t="s">
        <v>57</v>
      </c>
      <c r="F28" s="51" t="s">
        <v>52</v>
      </c>
      <c r="G28" s="78">
        <v>0.72916666666666663</v>
      </c>
      <c r="H28" s="82"/>
      <c r="I28" s="78">
        <v>0.35416666666666602</v>
      </c>
      <c r="J28" s="78">
        <v>0.72916666666666663</v>
      </c>
      <c r="K28" s="79">
        <f>IFERROR(VLOOKUP(J28,기준!B:C,2,FALSE),"")-IFERROR(VLOOKUP(I28,기준!D:E,2,FALSE),"")</f>
        <v>0</v>
      </c>
      <c r="L28" s="78">
        <f>IFERROR(VLOOKUP(K28,기준!F:G,2,FALSE),"")</f>
        <v>0.72916666666666663</v>
      </c>
      <c r="M28" s="83">
        <f t="shared" si="1"/>
        <v>0</v>
      </c>
      <c r="N28" s="46" t="s">
        <v>53</v>
      </c>
      <c r="O28" s="78">
        <v>0.72916666666666663</v>
      </c>
      <c r="P28" s="82"/>
      <c r="Q28" s="82">
        <v>0</v>
      </c>
      <c r="R28" s="81" t="s">
        <v>55</v>
      </c>
    </row>
    <row r="29" spans="1:22" x14ac:dyDescent="0.3">
      <c r="B29" s="51">
        <f t="shared" si="0"/>
        <v>23</v>
      </c>
      <c r="C29" s="51" t="s">
        <v>68</v>
      </c>
      <c r="D29" s="51" t="s">
        <v>69</v>
      </c>
      <c r="E29" s="51" t="s">
        <v>57</v>
      </c>
      <c r="F29" s="51" t="s">
        <v>52</v>
      </c>
      <c r="G29" s="78">
        <v>0.72916666666666663</v>
      </c>
      <c r="H29" s="82"/>
      <c r="I29" s="78">
        <v>0.35416666666666602</v>
      </c>
      <c r="J29" s="78">
        <v>0.72916666666666663</v>
      </c>
      <c r="K29" s="79">
        <f>IFERROR(VLOOKUP(J29,기준!B:C,2,FALSE),"")-IFERROR(VLOOKUP(I29,기준!D:E,2,FALSE),"")</f>
        <v>0</v>
      </c>
      <c r="L29" s="78">
        <f>IFERROR(VLOOKUP(K29,기준!F:G,2,FALSE),"")</f>
        <v>0.72916666666666663</v>
      </c>
      <c r="M29" s="83">
        <f t="shared" si="1"/>
        <v>0</v>
      </c>
      <c r="N29" s="46" t="s">
        <v>53</v>
      </c>
      <c r="O29" s="78">
        <v>0.72916666666666696</v>
      </c>
      <c r="P29" s="82"/>
      <c r="Q29" s="82">
        <v>0</v>
      </c>
      <c r="R29" s="81" t="s">
        <v>55</v>
      </c>
    </row>
    <row r="30" spans="1:22" x14ac:dyDescent="0.3">
      <c r="B30" s="51">
        <f t="shared" si="0"/>
        <v>24</v>
      </c>
      <c r="C30" s="51" t="s">
        <v>68</v>
      </c>
      <c r="D30" s="51" t="s">
        <v>69</v>
      </c>
      <c r="E30" s="51" t="s">
        <v>57</v>
      </c>
      <c r="F30" s="51" t="s">
        <v>52</v>
      </c>
      <c r="G30" s="78">
        <v>0.72916666666666663</v>
      </c>
      <c r="H30" s="82"/>
      <c r="I30" s="78">
        <v>0.35416666666666602</v>
      </c>
      <c r="J30" s="78">
        <v>0.72916666666666663</v>
      </c>
      <c r="K30" s="79">
        <f>IFERROR(VLOOKUP(J30,기준!B:C,2,FALSE),"")-IFERROR(VLOOKUP(I30,기준!D:E,2,FALSE),"")</f>
        <v>0</v>
      </c>
      <c r="L30" s="78">
        <f>IFERROR(VLOOKUP(K30,기준!F:G,2,FALSE),"")</f>
        <v>0.72916666666666663</v>
      </c>
      <c r="M30" s="83">
        <f t="shared" si="1"/>
        <v>0</v>
      </c>
      <c r="N30" s="46" t="s">
        <v>53</v>
      </c>
      <c r="O30" s="78">
        <v>0.72916666666666696</v>
      </c>
      <c r="P30" s="82"/>
      <c r="Q30" s="82">
        <v>0</v>
      </c>
      <c r="R30" s="81" t="s">
        <v>55</v>
      </c>
    </row>
    <row r="31" spans="1:22" x14ac:dyDescent="0.3">
      <c r="B31" s="51">
        <f t="shared" si="0"/>
        <v>25</v>
      </c>
      <c r="C31" s="51" t="s">
        <v>68</v>
      </c>
      <c r="D31" s="51" t="s">
        <v>69</v>
      </c>
      <c r="E31" s="51" t="s">
        <v>57</v>
      </c>
      <c r="F31" s="51" t="s">
        <v>52</v>
      </c>
      <c r="G31" s="78">
        <v>0.72916666666666663</v>
      </c>
      <c r="H31" s="82"/>
      <c r="I31" s="78">
        <v>0.35416666666666602</v>
      </c>
      <c r="J31" s="78">
        <v>0.72916666666666663</v>
      </c>
      <c r="K31" s="79">
        <f>IFERROR(VLOOKUP(J31,기준!B:C,2,FALSE),"")-IFERROR(VLOOKUP(I31,기준!D:E,2,FALSE),"")</f>
        <v>0</v>
      </c>
      <c r="L31" s="78">
        <f>IFERROR(VLOOKUP(K31,기준!F:G,2,FALSE),"")</f>
        <v>0.72916666666666663</v>
      </c>
      <c r="M31" s="83">
        <f t="shared" si="1"/>
        <v>0</v>
      </c>
      <c r="N31" s="46" t="s">
        <v>53</v>
      </c>
      <c r="O31" s="78">
        <v>0.72916666666666696</v>
      </c>
      <c r="P31" s="82"/>
      <c r="Q31" s="82">
        <v>0</v>
      </c>
      <c r="R31" s="81" t="s">
        <v>55</v>
      </c>
    </row>
    <row r="32" spans="1:22" x14ac:dyDescent="0.3">
      <c r="B32" s="51">
        <f t="shared" si="0"/>
        <v>26</v>
      </c>
      <c r="C32" s="51" t="s">
        <v>68</v>
      </c>
      <c r="D32" s="51" t="s">
        <v>69</v>
      </c>
      <c r="E32" s="51" t="s">
        <v>57</v>
      </c>
      <c r="F32" s="51" t="s">
        <v>52</v>
      </c>
      <c r="G32" s="78">
        <v>0.72916666666666663</v>
      </c>
      <c r="H32" s="82"/>
      <c r="I32" s="78">
        <v>0.35416666666666602</v>
      </c>
      <c r="J32" s="78">
        <v>0.72916666666666663</v>
      </c>
      <c r="K32" s="79">
        <f>IFERROR(VLOOKUP(J32,기준!B:C,2,FALSE),"")-IFERROR(VLOOKUP(I32,기준!D:E,2,FALSE),"")</f>
        <v>0</v>
      </c>
      <c r="L32" s="78">
        <f>IFERROR(VLOOKUP(K32,기준!F:G,2,FALSE),"")</f>
        <v>0.72916666666666663</v>
      </c>
      <c r="M32" s="83">
        <f t="shared" si="1"/>
        <v>0</v>
      </c>
      <c r="N32" s="46" t="s">
        <v>53</v>
      </c>
      <c r="O32" s="78">
        <v>0.72916666666666696</v>
      </c>
      <c r="P32" s="82"/>
      <c r="Q32" s="82">
        <v>0</v>
      </c>
      <c r="R32" s="81" t="s">
        <v>55</v>
      </c>
    </row>
    <row r="33" spans="2:18" x14ac:dyDescent="0.3">
      <c r="B33" s="51">
        <f t="shared" si="0"/>
        <v>27</v>
      </c>
      <c r="C33" s="51" t="s">
        <v>68</v>
      </c>
      <c r="D33" s="51" t="s">
        <v>69</v>
      </c>
      <c r="E33" s="51" t="s">
        <v>57</v>
      </c>
      <c r="F33" s="51" t="s">
        <v>52</v>
      </c>
      <c r="G33" s="78">
        <v>0.72916666666666663</v>
      </c>
      <c r="H33" s="82"/>
      <c r="I33" s="78">
        <v>0.35416666666666602</v>
      </c>
      <c r="J33" s="78">
        <v>0.72916666666666663</v>
      </c>
      <c r="K33" s="79">
        <f>IFERROR(VLOOKUP(J33,기준!B:C,2,FALSE),"")-IFERROR(VLOOKUP(I33,기준!D:E,2,FALSE),"")</f>
        <v>0</v>
      </c>
      <c r="L33" s="78">
        <f>IFERROR(VLOOKUP(K33,기준!F:G,2,FALSE),"")</f>
        <v>0.72916666666666663</v>
      </c>
      <c r="M33" s="83">
        <f t="shared" si="1"/>
        <v>0</v>
      </c>
      <c r="N33" s="46" t="s">
        <v>53</v>
      </c>
      <c r="O33" s="78">
        <v>0.72916666666666663</v>
      </c>
      <c r="P33" s="82"/>
      <c r="Q33" s="82">
        <v>0</v>
      </c>
      <c r="R33" s="81" t="s">
        <v>55</v>
      </c>
    </row>
    <row r="34" spans="2:18" x14ac:dyDescent="0.3">
      <c r="B34" s="51">
        <f t="shared" si="0"/>
        <v>28</v>
      </c>
      <c r="C34" s="51" t="s">
        <v>68</v>
      </c>
      <c r="D34" s="51" t="s">
        <v>69</v>
      </c>
      <c r="E34" s="51" t="s">
        <v>57</v>
      </c>
      <c r="F34" s="51" t="s">
        <v>52</v>
      </c>
      <c r="G34" s="78">
        <v>0.72916666666666663</v>
      </c>
      <c r="H34" s="82"/>
      <c r="I34" s="78">
        <v>0.35416666666666602</v>
      </c>
      <c r="J34" s="78">
        <v>0.72916666666666663</v>
      </c>
      <c r="K34" s="79">
        <f>IFERROR(VLOOKUP(J34,기준!B:C,2,FALSE),"")-IFERROR(VLOOKUP(I34,기준!D:E,2,FALSE),"")</f>
        <v>0</v>
      </c>
      <c r="L34" s="78">
        <f>IFERROR(VLOOKUP(K34,기준!F:G,2,FALSE),"")</f>
        <v>0.72916666666666663</v>
      </c>
      <c r="M34" s="83">
        <f t="shared" si="1"/>
        <v>0</v>
      </c>
      <c r="N34" s="46" t="s">
        <v>53</v>
      </c>
      <c r="O34" s="78">
        <v>0.72916666666666663</v>
      </c>
      <c r="P34" s="82"/>
      <c r="Q34" s="82">
        <v>0</v>
      </c>
      <c r="R34" s="81" t="s">
        <v>55</v>
      </c>
    </row>
    <row r="35" spans="2:18" x14ac:dyDescent="0.3">
      <c r="B35" s="51">
        <f t="shared" si="0"/>
        <v>29</v>
      </c>
      <c r="C35" s="51" t="s">
        <v>68</v>
      </c>
      <c r="D35" s="51" t="s">
        <v>69</v>
      </c>
      <c r="E35" s="51" t="s">
        <v>57</v>
      </c>
      <c r="F35" s="51" t="s">
        <v>52</v>
      </c>
      <c r="G35" s="78">
        <v>0.72916666666666663</v>
      </c>
      <c r="H35" s="82"/>
      <c r="I35" s="78">
        <v>0.35416666666666602</v>
      </c>
      <c r="J35" s="78">
        <v>0.72916666666666663</v>
      </c>
      <c r="K35" s="79">
        <f>IFERROR(VLOOKUP(J35,기준!B:C,2,FALSE),"")-IFERROR(VLOOKUP(I35,기준!D:E,2,FALSE),"")</f>
        <v>0</v>
      </c>
      <c r="L35" s="78">
        <f>IFERROR(VLOOKUP(K35,기준!F:G,2,FALSE),"")</f>
        <v>0.72916666666666663</v>
      </c>
      <c r="M35" s="83">
        <f t="shared" si="1"/>
        <v>0</v>
      </c>
      <c r="N35" s="46" t="s">
        <v>53</v>
      </c>
      <c r="O35" s="78">
        <v>0.72916666666666696</v>
      </c>
      <c r="P35" s="82"/>
      <c r="Q35" s="82">
        <v>0</v>
      </c>
      <c r="R35" s="81" t="s">
        <v>55</v>
      </c>
    </row>
    <row r="36" spans="2:18" x14ac:dyDescent="0.3">
      <c r="B36" s="51">
        <f t="shared" si="0"/>
        <v>30</v>
      </c>
      <c r="C36" s="51" t="s">
        <v>68</v>
      </c>
      <c r="D36" s="51" t="s">
        <v>69</v>
      </c>
      <c r="E36" s="51" t="s">
        <v>57</v>
      </c>
      <c r="F36" s="51" t="s">
        <v>52</v>
      </c>
      <c r="G36" s="78">
        <v>0.72916666666666663</v>
      </c>
      <c r="H36" s="82"/>
      <c r="I36" s="78">
        <v>0.35416666666666602</v>
      </c>
      <c r="J36" s="78">
        <v>0.72916666666666663</v>
      </c>
      <c r="K36" s="79">
        <f>IFERROR(VLOOKUP(J36,기준!B:C,2,FALSE),"")-IFERROR(VLOOKUP(I36,기준!D:E,2,FALSE),"")</f>
        <v>0</v>
      </c>
      <c r="L36" s="78">
        <f>IFERROR(VLOOKUP(K36,기준!F:G,2,FALSE),"")</f>
        <v>0.72916666666666663</v>
      </c>
      <c r="M36" s="83">
        <f t="shared" si="1"/>
        <v>0</v>
      </c>
      <c r="N36" s="46" t="s">
        <v>53</v>
      </c>
      <c r="O36" s="78">
        <v>0.72916666666666696</v>
      </c>
      <c r="P36" s="82"/>
      <c r="Q36" s="82">
        <v>0</v>
      </c>
      <c r="R36" s="81" t="s">
        <v>55</v>
      </c>
    </row>
    <row r="37" spans="2:18" x14ac:dyDescent="0.3">
      <c r="B37" s="51">
        <f t="shared" si="0"/>
        <v>31</v>
      </c>
      <c r="C37" s="51" t="s">
        <v>68</v>
      </c>
      <c r="D37" s="51" t="s">
        <v>69</v>
      </c>
      <c r="E37" s="51" t="s">
        <v>57</v>
      </c>
      <c r="F37" s="51" t="s">
        <v>52</v>
      </c>
      <c r="G37" s="78">
        <v>0.72916666666666663</v>
      </c>
      <c r="H37" s="82"/>
      <c r="I37" s="78">
        <v>0.35416666666666602</v>
      </c>
      <c r="J37" s="78">
        <v>0.72916666666666663</v>
      </c>
      <c r="K37" s="79">
        <f>IFERROR(VLOOKUP(J37,기준!B:C,2,FALSE),"")-IFERROR(VLOOKUP(I37,기준!D:E,2,FALSE),"")</f>
        <v>0</v>
      </c>
      <c r="L37" s="78">
        <f>IFERROR(VLOOKUP(K37,기준!F:G,2,FALSE),"")</f>
        <v>0.72916666666666663</v>
      </c>
      <c r="M37" s="83">
        <f t="shared" si="1"/>
        <v>0</v>
      </c>
      <c r="N37" s="46" t="s">
        <v>53</v>
      </c>
      <c r="O37" s="78">
        <v>0.72916666666666696</v>
      </c>
      <c r="P37" s="82"/>
      <c r="Q37" s="82">
        <v>0</v>
      </c>
      <c r="R37" s="81" t="s">
        <v>55</v>
      </c>
    </row>
    <row r="38" spans="2:18" x14ac:dyDescent="0.3">
      <c r="B38" s="51">
        <f t="shared" si="0"/>
        <v>32</v>
      </c>
      <c r="C38" s="51" t="s">
        <v>68</v>
      </c>
      <c r="D38" s="51" t="s">
        <v>69</v>
      </c>
      <c r="E38" s="51" t="s">
        <v>57</v>
      </c>
      <c r="F38" s="51" t="s">
        <v>52</v>
      </c>
      <c r="G38" s="78">
        <v>0.72916666666666663</v>
      </c>
      <c r="H38" s="82"/>
      <c r="I38" s="78">
        <v>0.35416666666666602</v>
      </c>
      <c r="J38" s="78">
        <v>0.72916666666666663</v>
      </c>
      <c r="K38" s="79">
        <f>IFERROR(VLOOKUP(J38,기준!B:C,2,FALSE),"")-IFERROR(VLOOKUP(I38,기준!D:E,2,FALSE),"")</f>
        <v>0</v>
      </c>
      <c r="L38" s="78">
        <f>IFERROR(VLOOKUP(K38,기준!F:G,2,FALSE),"")</f>
        <v>0.72916666666666663</v>
      </c>
      <c r="M38" s="83">
        <f t="shared" si="1"/>
        <v>0</v>
      </c>
      <c r="N38" s="46" t="s">
        <v>53</v>
      </c>
      <c r="O38" s="78">
        <v>0.72916666666666696</v>
      </c>
      <c r="P38" s="82"/>
      <c r="Q38" s="82">
        <v>0</v>
      </c>
      <c r="R38" s="81" t="s">
        <v>55</v>
      </c>
    </row>
    <row r="39" spans="2:18" x14ac:dyDescent="0.3">
      <c r="B39" s="51">
        <f t="shared" si="0"/>
        <v>33</v>
      </c>
      <c r="C39" s="51" t="s">
        <v>68</v>
      </c>
      <c r="D39" s="51" t="s">
        <v>69</v>
      </c>
      <c r="E39" s="51" t="s">
        <v>57</v>
      </c>
      <c r="F39" s="51" t="s">
        <v>52</v>
      </c>
      <c r="G39" s="78">
        <v>0.72916666666666663</v>
      </c>
      <c r="H39" s="82"/>
      <c r="I39" s="78">
        <v>0.35416666666666602</v>
      </c>
      <c r="J39" s="78">
        <v>0.72916666666666663</v>
      </c>
      <c r="K39" s="79">
        <f>IFERROR(VLOOKUP(J39,기준!B:C,2,FALSE),"")-IFERROR(VLOOKUP(I39,기준!D:E,2,FALSE),"")</f>
        <v>0</v>
      </c>
      <c r="L39" s="78">
        <f>IFERROR(VLOOKUP(K39,기준!F:G,2,FALSE),"")</f>
        <v>0.72916666666666663</v>
      </c>
      <c r="M39" s="83">
        <f t="shared" si="1"/>
        <v>0</v>
      </c>
      <c r="N39" s="46" t="s">
        <v>53</v>
      </c>
      <c r="O39" s="78">
        <v>0.72916666666666663</v>
      </c>
      <c r="P39" s="82"/>
      <c r="Q39" s="82">
        <v>0</v>
      </c>
      <c r="R39" s="81" t="s">
        <v>55</v>
      </c>
    </row>
    <row r="40" spans="2:18" x14ac:dyDescent="0.3">
      <c r="B40" s="51">
        <f t="shared" si="0"/>
        <v>34</v>
      </c>
      <c r="C40" s="51" t="s">
        <v>68</v>
      </c>
      <c r="D40" s="51" t="s">
        <v>69</v>
      </c>
      <c r="E40" s="51" t="s">
        <v>57</v>
      </c>
      <c r="F40" s="51" t="s">
        <v>52</v>
      </c>
      <c r="G40" s="78">
        <v>0.72916666666666663</v>
      </c>
      <c r="H40" s="82"/>
      <c r="I40" s="78">
        <v>0.35416666666666602</v>
      </c>
      <c r="J40" s="78">
        <v>0.72916666666666663</v>
      </c>
      <c r="K40" s="79">
        <f>IFERROR(VLOOKUP(J40,기준!B:C,2,FALSE),"")-IFERROR(VLOOKUP(I40,기준!D:E,2,FALSE),"")</f>
        <v>0</v>
      </c>
      <c r="L40" s="78">
        <f>IFERROR(VLOOKUP(K40,기준!F:G,2,FALSE),"")</f>
        <v>0.72916666666666663</v>
      </c>
      <c r="M40" s="83">
        <f t="shared" si="1"/>
        <v>0</v>
      </c>
      <c r="N40" s="46" t="s">
        <v>53</v>
      </c>
      <c r="O40" s="78">
        <v>0.72916666666666663</v>
      </c>
      <c r="P40" s="82"/>
      <c r="Q40" s="82">
        <v>0</v>
      </c>
      <c r="R40" s="81" t="s">
        <v>55</v>
      </c>
    </row>
    <row r="41" spans="2:18" x14ac:dyDescent="0.3">
      <c r="B41" s="51">
        <f t="shared" si="0"/>
        <v>35</v>
      </c>
      <c r="C41" s="51" t="s">
        <v>68</v>
      </c>
      <c r="D41" s="51" t="s">
        <v>69</v>
      </c>
      <c r="E41" s="51" t="s">
        <v>57</v>
      </c>
      <c r="F41" s="51" t="s">
        <v>52</v>
      </c>
      <c r="G41" s="78">
        <v>0.72916666666666663</v>
      </c>
      <c r="H41" s="82"/>
      <c r="I41" s="78">
        <v>0.35416666666666602</v>
      </c>
      <c r="J41" s="78">
        <v>0.72916666666666663</v>
      </c>
      <c r="K41" s="79">
        <f>IFERROR(VLOOKUP(J41,기준!B:C,2,FALSE),"")-IFERROR(VLOOKUP(I41,기준!D:E,2,FALSE),"")</f>
        <v>0</v>
      </c>
      <c r="L41" s="78">
        <f>IFERROR(VLOOKUP(K41,기준!F:G,2,FALSE),"")</f>
        <v>0.72916666666666663</v>
      </c>
      <c r="M41" s="83">
        <f t="shared" si="1"/>
        <v>0</v>
      </c>
      <c r="N41" s="46" t="s">
        <v>53</v>
      </c>
      <c r="O41" s="78">
        <v>0.72916666666666696</v>
      </c>
      <c r="P41" s="82"/>
      <c r="Q41" s="82">
        <v>0</v>
      </c>
      <c r="R41" s="81" t="s">
        <v>55</v>
      </c>
    </row>
    <row r="42" spans="2:18" x14ac:dyDescent="0.3">
      <c r="B42" s="51">
        <f t="shared" si="0"/>
        <v>36</v>
      </c>
      <c r="C42" s="51" t="s">
        <v>68</v>
      </c>
      <c r="D42" s="51" t="s">
        <v>69</v>
      </c>
      <c r="E42" s="51" t="s">
        <v>57</v>
      </c>
      <c r="F42" s="51" t="s">
        <v>52</v>
      </c>
      <c r="G42" s="78">
        <v>0.72916666666666663</v>
      </c>
      <c r="H42" s="82"/>
      <c r="I42" s="78">
        <v>0.35416666666666602</v>
      </c>
      <c r="J42" s="78">
        <v>0.72916666666666663</v>
      </c>
      <c r="K42" s="79">
        <f>IFERROR(VLOOKUP(J42,기준!B:C,2,FALSE),"")-IFERROR(VLOOKUP(I42,기준!D:E,2,FALSE),"")</f>
        <v>0</v>
      </c>
      <c r="L42" s="78">
        <f>IFERROR(VLOOKUP(K42,기준!F:G,2,FALSE),"")</f>
        <v>0.72916666666666663</v>
      </c>
      <c r="M42" s="83">
        <f t="shared" si="1"/>
        <v>0</v>
      </c>
      <c r="N42" s="46" t="s">
        <v>53</v>
      </c>
      <c r="O42" s="78">
        <v>0.72916666666666696</v>
      </c>
      <c r="P42" s="82"/>
      <c r="Q42" s="82">
        <v>0</v>
      </c>
      <c r="R42" s="81" t="s">
        <v>55</v>
      </c>
    </row>
    <row r="43" spans="2:18" x14ac:dyDescent="0.3">
      <c r="B43" s="51">
        <f t="shared" si="0"/>
        <v>37</v>
      </c>
      <c r="C43" s="51" t="s">
        <v>68</v>
      </c>
      <c r="D43" s="51" t="s">
        <v>69</v>
      </c>
      <c r="E43" s="51" t="s">
        <v>57</v>
      </c>
      <c r="F43" s="51" t="s">
        <v>52</v>
      </c>
      <c r="G43" s="78">
        <v>0.72916666666666663</v>
      </c>
      <c r="H43" s="82"/>
      <c r="I43" s="78">
        <v>0.35416666666666602</v>
      </c>
      <c r="J43" s="78">
        <v>0.72916666666666663</v>
      </c>
      <c r="K43" s="79">
        <f>IFERROR(VLOOKUP(J43,기준!B:C,2,FALSE),"")-IFERROR(VLOOKUP(I43,기준!D:E,2,FALSE),"")</f>
        <v>0</v>
      </c>
      <c r="L43" s="78">
        <f>IFERROR(VLOOKUP(K43,기준!F:G,2,FALSE),"")</f>
        <v>0.72916666666666663</v>
      </c>
      <c r="M43" s="83">
        <f t="shared" si="1"/>
        <v>0</v>
      </c>
      <c r="N43" s="46" t="s">
        <v>53</v>
      </c>
      <c r="O43" s="78">
        <v>0.72916666666666696</v>
      </c>
      <c r="P43" s="82"/>
      <c r="Q43" s="82">
        <v>0</v>
      </c>
      <c r="R43" s="81" t="s">
        <v>55</v>
      </c>
    </row>
  </sheetData>
  <mergeCells count="15">
    <mergeCell ref="R5:R6"/>
    <mergeCell ref="O4:Q4"/>
    <mergeCell ref="G5:H5"/>
    <mergeCell ref="I5:K5"/>
    <mergeCell ref="L5:L6"/>
    <mergeCell ref="M5:M6"/>
    <mergeCell ref="N5:N6"/>
    <mergeCell ref="O5:P5"/>
    <mergeCell ref="Q5:Q6"/>
    <mergeCell ref="G4:M4"/>
    <mergeCell ref="B4:B6"/>
    <mergeCell ref="C4:C6"/>
    <mergeCell ref="D4:D6"/>
    <mergeCell ref="E4:E6"/>
    <mergeCell ref="F4:F6"/>
  </mergeCells>
  <phoneticPr fontId="1" type="noConversion"/>
  <dataValidations count="1">
    <dataValidation type="list" allowBlank="1" showInputMessage="1" showErrorMessage="1" sqref="O7:O43" xr:uid="{51B93AB5-765E-40E9-8513-6CDC1F5B3B2B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A206-2A5D-4A26-964B-3B0A1DF49C06}">
  <dimension ref="A1:V43"/>
  <sheetViews>
    <sheetView showGridLines="0" topLeftCell="A4" workbookViewId="0">
      <selection activeCell="P19" sqref="P19"/>
    </sheetView>
  </sheetViews>
  <sheetFormatPr defaultRowHeight="16.5" x14ac:dyDescent="0.3"/>
  <cols>
    <col min="1" max="1" width="1.625" customWidth="1"/>
    <col min="2" max="2" width="15.875" bestFit="1" customWidth="1"/>
    <col min="12" max="12" width="17.375" customWidth="1"/>
    <col min="14" max="14" width="19.375" bestFit="1" customWidth="1"/>
    <col min="18" max="18" width="22.75" bestFit="1" customWidth="1"/>
    <col min="19" max="19" width="10.5" hidden="1" customWidth="1"/>
    <col min="20" max="20" width="8.875" customWidth="1"/>
    <col min="21" max="21" width="10.375" hidden="1" customWidth="1"/>
    <col min="22" max="22" width="9" hidden="1" customWidth="1"/>
  </cols>
  <sheetData>
    <row r="1" spans="1:22" x14ac:dyDescent="0.3">
      <c r="A1" s="17"/>
      <c r="B1" s="17"/>
      <c r="C1" s="17"/>
      <c r="D1" s="17"/>
      <c r="E1" s="17"/>
      <c r="F1" s="17"/>
      <c r="G1" s="18"/>
      <c r="H1" s="19"/>
      <c r="I1" s="19"/>
      <c r="J1" s="18"/>
      <c r="K1" s="19"/>
      <c r="L1" s="19"/>
      <c r="M1" s="19"/>
      <c r="N1" s="17"/>
      <c r="O1" s="18"/>
      <c r="P1" s="19"/>
      <c r="Q1" s="19"/>
      <c r="R1" s="17"/>
      <c r="S1" s="20"/>
    </row>
    <row r="2" spans="1:22" x14ac:dyDescent="0.3">
      <c r="A2" s="17"/>
      <c r="B2" s="21" t="s">
        <v>28</v>
      </c>
      <c r="C2" s="22"/>
      <c r="D2" s="22"/>
      <c r="E2" s="22"/>
      <c r="F2" s="22"/>
      <c r="G2" s="23"/>
      <c r="H2" s="24"/>
      <c r="I2" s="24"/>
      <c r="J2" s="23"/>
      <c r="K2" s="24"/>
      <c r="L2" s="24"/>
      <c r="M2" s="24"/>
      <c r="N2" s="22"/>
      <c r="O2" s="23"/>
      <c r="P2" s="24"/>
      <c r="Q2" s="24"/>
      <c r="R2" s="22"/>
      <c r="S2" s="25"/>
    </row>
    <row r="3" spans="1:22" x14ac:dyDescent="0.3">
      <c r="A3" s="17"/>
      <c r="B3" s="26">
        <v>46104</v>
      </c>
      <c r="C3" s="26"/>
      <c r="D3" s="26"/>
      <c r="E3" s="26"/>
      <c r="F3" s="27" t="s">
        <v>29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2" ht="16.5" customHeight="1" x14ac:dyDescent="0.3">
      <c r="A4" s="17"/>
      <c r="B4" s="105" t="s">
        <v>30</v>
      </c>
      <c r="C4" s="105" t="s">
        <v>31</v>
      </c>
      <c r="D4" s="105" t="s">
        <v>25</v>
      </c>
      <c r="E4" s="105" t="s">
        <v>32</v>
      </c>
      <c r="F4" s="105" t="s">
        <v>33</v>
      </c>
      <c r="G4" s="102" t="s">
        <v>34</v>
      </c>
      <c r="H4" s="103"/>
      <c r="I4" s="103"/>
      <c r="J4" s="103"/>
      <c r="K4" s="103"/>
      <c r="L4" s="103"/>
      <c r="M4" s="104"/>
      <c r="N4" s="28">
        <f>B3-1</f>
        <v>46103</v>
      </c>
      <c r="O4" s="87" t="s">
        <v>35</v>
      </c>
      <c r="P4" s="88"/>
      <c r="Q4" s="89"/>
      <c r="R4" s="29">
        <f>B3</f>
        <v>46104</v>
      </c>
      <c r="S4" s="30" t="s">
        <v>36</v>
      </c>
      <c r="U4" s="31" t="s">
        <v>37</v>
      </c>
      <c r="V4" s="32"/>
    </row>
    <row r="5" spans="1:22" ht="16.5" customHeight="1" x14ac:dyDescent="0.3">
      <c r="A5" s="17"/>
      <c r="B5" s="106"/>
      <c r="C5" s="106"/>
      <c r="D5" s="106"/>
      <c r="E5" s="106"/>
      <c r="F5" s="106"/>
      <c r="G5" s="90" t="s">
        <v>38</v>
      </c>
      <c r="H5" s="91"/>
      <c r="I5" s="92" t="s">
        <v>39</v>
      </c>
      <c r="J5" s="93"/>
      <c r="K5" s="91"/>
      <c r="L5" s="94" t="s">
        <v>40</v>
      </c>
      <c r="M5" s="96" t="s">
        <v>41</v>
      </c>
      <c r="N5" s="94" t="s">
        <v>43</v>
      </c>
      <c r="O5" s="98" t="s">
        <v>44</v>
      </c>
      <c r="P5" s="99"/>
      <c r="Q5" s="100" t="s">
        <v>41</v>
      </c>
      <c r="R5" s="85" t="s">
        <v>42</v>
      </c>
      <c r="S5" s="33"/>
      <c r="U5" s="34"/>
      <c r="V5" s="35"/>
    </row>
    <row r="6" spans="1:22" x14ac:dyDescent="0.3">
      <c r="A6" s="17"/>
      <c r="B6" s="106"/>
      <c r="C6" s="106"/>
      <c r="D6" s="106"/>
      <c r="E6" s="106"/>
      <c r="F6" s="106"/>
      <c r="G6" s="36" t="s">
        <v>45</v>
      </c>
      <c r="H6" s="37"/>
      <c r="I6" s="37" t="s">
        <v>46</v>
      </c>
      <c r="J6" s="37" t="s">
        <v>45</v>
      </c>
      <c r="K6" s="37"/>
      <c r="L6" s="95"/>
      <c r="M6" s="97"/>
      <c r="N6" s="95"/>
      <c r="O6" s="38" t="s">
        <v>45</v>
      </c>
      <c r="P6" s="39" t="s">
        <v>38</v>
      </c>
      <c r="Q6" s="107"/>
      <c r="R6" s="86"/>
      <c r="S6" s="33"/>
      <c r="U6" s="36" t="s">
        <v>47</v>
      </c>
      <c r="V6" s="40" t="s">
        <v>48</v>
      </c>
    </row>
    <row r="7" spans="1:22" x14ac:dyDescent="0.3">
      <c r="A7" s="17"/>
      <c r="B7" s="41">
        <f t="shared" ref="B7:B43" si="0">+ROW()-6</f>
        <v>1</v>
      </c>
      <c r="C7" s="41" t="s">
        <v>49</v>
      </c>
      <c r="D7" s="41" t="s">
        <v>50</v>
      </c>
      <c r="E7" s="41" t="s">
        <v>51</v>
      </c>
      <c r="F7" s="41" t="s">
        <v>52</v>
      </c>
      <c r="G7" s="42">
        <v>0.72916666666666663</v>
      </c>
      <c r="H7" s="43"/>
      <c r="I7" s="44">
        <v>0.35416666666666602</v>
      </c>
      <c r="J7" s="44">
        <v>0.72916666666666663</v>
      </c>
      <c r="K7" s="43">
        <f>IF(OR(I7="",J7=""),0,
IF(AND(HOUR(I7)=8,MINUTE(I7)=30),
   IF(IF(J7&lt;I7,J7+1,J7)&lt;TIME(18,0,0),0,
      IF(IF(J7&lt;I7,J7+1,J7)&lt;=TIME(19,30,0),
         ROUND((IF(J7&lt;I7,J7+1,J7)-TIME(17,30,0))*24,1),
         ROUND((IF(J7&lt;I7,J7+1,J7)-TIME(18,30,0))*24,1)
      )
   ),
   IF(AND(HOUR(I7)=10,MINUTE(I7)=0),
      IF(IF(J7&lt;I7,J7+1,J7)&lt;=TIME(20,0,0),0,
         ROUND((IF(J7&lt;I7,J7+1,J7)-TIME(20,0,0))*24,1)
      ),
      0
   )
))</f>
        <v>0</v>
      </c>
      <c r="L7" s="44">
        <f>IFERROR(VLOOKUP(K7,기준!F:G,2,FALSE),"")</f>
        <v>0.72916666666666663</v>
      </c>
      <c r="M7" s="45">
        <f t="shared" ref="M7:M43" si="1">K7</f>
        <v>0</v>
      </c>
      <c r="N7" s="46" t="s">
        <v>76</v>
      </c>
      <c r="O7" s="42">
        <v>0.72916666666666663</v>
      </c>
      <c r="P7" s="43" t="s">
        <v>54</v>
      </c>
      <c r="Q7" s="47">
        <v>0</v>
      </c>
      <c r="R7" s="46" t="s">
        <v>53</v>
      </c>
      <c r="S7" s="48" t="s">
        <v>55</v>
      </c>
      <c r="U7" s="44">
        <v>0.35416666666666602</v>
      </c>
      <c r="V7" s="49">
        <f>COUNTIF($I$7:$I$19,U7)</f>
        <v>13</v>
      </c>
    </row>
    <row r="8" spans="1:22" x14ac:dyDescent="0.3">
      <c r="A8" s="17"/>
      <c r="B8" s="50">
        <f t="shared" si="0"/>
        <v>2</v>
      </c>
      <c r="C8" s="51" t="s">
        <v>56</v>
      </c>
      <c r="D8" s="50" t="s">
        <v>14</v>
      </c>
      <c r="E8" s="50" t="s">
        <v>57</v>
      </c>
      <c r="F8" s="51" t="s">
        <v>52</v>
      </c>
      <c r="G8" s="44">
        <v>0.72916666666666663</v>
      </c>
      <c r="H8" s="43"/>
      <c r="I8" s="44">
        <v>0.35416666666666602</v>
      </c>
      <c r="J8" s="44">
        <v>0.72916666666666663</v>
      </c>
      <c r="K8" s="43">
        <f t="shared" ref="K8:K18" si="2">IF(OR(I8="",J8=""),0,
IF(AND(HOUR(I8)=8,MINUTE(I8)=30),
   IF(IF(J8&lt;I8,J8+1,J8)&lt;TIME(18,0,0),0,
      IF(IF(J8&lt;I8,J8+1,J8)&lt;=TIME(19,30,0),
         ROUND((IF(J8&lt;I8,J8+1,J8)-TIME(17,30,0))*24,1),
         ROUND((IF(J8&lt;I8,J8+1,J8)-TIME(18,30,0))*24,1)
      )
   ),
   IF(AND(HOUR(I8)=10,MINUTE(I8)=0),
      IF(IF(J8&lt;I8,J8+1,J8)&lt;=TIME(20,0,0),0,
         ROUND((IF(J8&lt;I8,J8+1,J8)-TIME(20,0,0))*24,1)
      ),
      0
   )
))</f>
        <v>0</v>
      </c>
      <c r="L8" s="44">
        <f>IFERROR(VLOOKUP(K8,기준!F:G,2,FALSE),"")</f>
        <v>0.72916666666666663</v>
      </c>
      <c r="M8" s="52">
        <f t="shared" si="1"/>
        <v>0</v>
      </c>
      <c r="N8" s="46" t="s">
        <v>55</v>
      </c>
      <c r="O8" s="42">
        <v>0.72916666666666663</v>
      </c>
      <c r="P8" s="53"/>
      <c r="Q8" s="54">
        <v>0</v>
      </c>
      <c r="R8" s="46" t="s">
        <v>53</v>
      </c>
      <c r="S8" s="48" t="s">
        <v>55</v>
      </c>
      <c r="U8" s="44">
        <v>0.39583333333333298</v>
      </c>
      <c r="V8" s="49">
        <f>COUNTIF($I$7:$I$19,U8)</f>
        <v>0</v>
      </c>
    </row>
    <row r="9" spans="1:22" x14ac:dyDescent="0.3">
      <c r="A9" s="17"/>
      <c r="B9" s="50">
        <f t="shared" si="0"/>
        <v>3</v>
      </c>
      <c r="C9" s="41" t="s">
        <v>49</v>
      </c>
      <c r="D9" s="50" t="s">
        <v>13</v>
      </c>
      <c r="E9" s="50" t="s">
        <v>57</v>
      </c>
      <c r="F9" s="50" t="s">
        <v>52</v>
      </c>
      <c r="G9" s="42">
        <v>0.72916666666666663</v>
      </c>
      <c r="H9" s="53"/>
      <c r="I9" s="44">
        <v>0.35416666666666602</v>
      </c>
      <c r="J9" s="44">
        <v>0.72916666666666663</v>
      </c>
      <c r="K9" s="43">
        <f t="shared" si="2"/>
        <v>0</v>
      </c>
      <c r="L9" s="44">
        <f>IFERROR(VLOOKUP(K9,기준!F:G,2,FALSE),"")</f>
        <v>0.72916666666666663</v>
      </c>
      <c r="M9" s="52">
        <f t="shared" si="1"/>
        <v>0</v>
      </c>
      <c r="N9" s="46" t="s">
        <v>55</v>
      </c>
      <c r="O9" s="42">
        <v>0.72916666666666663</v>
      </c>
      <c r="P9" s="53" t="s">
        <v>54</v>
      </c>
      <c r="Q9" s="54">
        <v>0</v>
      </c>
      <c r="R9" s="46" t="s">
        <v>53</v>
      </c>
      <c r="S9" s="48" t="s">
        <v>58</v>
      </c>
      <c r="U9" s="44">
        <v>0.41666666666666602</v>
      </c>
      <c r="V9" s="49">
        <f>COUNTIF($I$7:$I$19,U9)</f>
        <v>0</v>
      </c>
    </row>
    <row r="10" spans="1:22" x14ac:dyDescent="0.3">
      <c r="A10" s="17"/>
      <c r="B10" s="50">
        <f t="shared" si="0"/>
        <v>4</v>
      </c>
      <c r="C10" s="41" t="s">
        <v>49</v>
      </c>
      <c r="D10" s="50" t="s">
        <v>59</v>
      </c>
      <c r="E10" s="50" t="s">
        <v>57</v>
      </c>
      <c r="F10" s="50" t="s">
        <v>52</v>
      </c>
      <c r="G10" s="42">
        <v>0.72916666666666663</v>
      </c>
      <c r="H10" s="53"/>
      <c r="I10" s="44">
        <v>0.35416666666666602</v>
      </c>
      <c r="J10" s="44">
        <v>0.72916666666666663</v>
      </c>
      <c r="K10" s="43">
        <f t="shared" si="2"/>
        <v>0</v>
      </c>
      <c r="L10" s="44">
        <f>IFERROR(VLOOKUP(K10,기준!F:G,2,FALSE),"")</f>
        <v>0.72916666666666663</v>
      </c>
      <c r="M10" s="52">
        <f t="shared" si="1"/>
        <v>0</v>
      </c>
      <c r="N10" s="46" t="s">
        <v>55</v>
      </c>
      <c r="O10" s="42">
        <v>0.72916666666666663</v>
      </c>
      <c r="P10" s="53"/>
      <c r="Q10" s="54">
        <v>0</v>
      </c>
      <c r="R10" s="46" t="s">
        <v>53</v>
      </c>
      <c r="S10" s="48"/>
      <c r="U10" s="44">
        <v>0.5625</v>
      </c>
      <c r="V10" s="49">
        <f>COUNTIF($I$7:$I$19,U10)</f>
        <v>0</v>
      </c>
    </row>
    <row r="11" spans="1:22" x14ac:dyDescent="0.3">
      <c r="A11" s="17"/>
      <c r="B11" s="50">
        <f t="shared" si="0"/>
        <v>5</v>
      </c>
      <c r="C11" s="41" t="s">
        <v>49</v>
      </c>
      <c r="D11" s="50" t="s">
        <v>11</v>
      </c>
      <c r="E11" s="50" t="s">
        <v>57</v>
      </c>
      <c r="F11" s="50" t="s">
        <v>52</v>
      </c>
      <c r="G11" s="42">
        <v>0.72916666666666663</v>
      </c>
      <c r="H11" s="55"/>
      <c r="I11" s="44">
        <v>0.35416666666666602</v>
      </c>
      <c r="J11" s="44">
        <v>0.72916666666666663</v>
      </c>
      <c r="K11" s="43">
        <f t="shared" si="2"/>
        <v>0</v>
      </c>
      <c r="L11" s="44">
        <f>IFERROR(VLOOKUP(K11,기준!F:G,2,FALSE),"")</f>
        <v>0.72916666666666663</v>
      </c>
      <c r="M11" s="52">
        <f t="shared" si="1"/>
        <v>0</v>
      </c>
      <c r="N11" s="46" t="s">
        <v>55</v>
      </c>
      <c r="O11" s="42">
        <v>0.72916666666666663</v>
      </c>
      <c r="P11" s="53" t="s">
        <v>54</v>
      </c>
      <c r="Q11" s="54">
        <v>0</v>
      </c>
      <c r="R11" s="46" t="s">
        <v>53</v>
      </c>
      <c r="S11" s="48"/>
      <c r="U11" s="44">
        <v>0.72916666666666663</v>
      </c>
      <c r="V11" s="49">
        <f t="shared" ref="V11:V24" si="3">COUNTIF($J$7:$J$19,U11)</f>
        <v>13</v>
      </c>
    </row>
    <row r="12" spans="1:22" x14ac:dyDescent="0.3">
      <c r="A12" s="17"/>
      <c r="B12" s="50">
        <f t="shared" si="0"/>
        <v>6</v>
      </c>
      <c r="C12" s="41" t="s">
        <v>49</v>
      </c>
      <c r="D12" s="50" t="s">
        <v>60</v>
      </c>
      <c r="E12" s="50" t="s">
        <v>57</v>
      </c>
      <c r="F12" s="50" t="s">
        <v>52</v>
      </c>
      <c r="G12" s="42">
        <v>0.72916666666666663</v>
      </c>
      <c r="H12" s="53"/>
      <c r="I12" s="44">
        <v>0.35416666666666602</v>
      </c>
      <c r="J12" s="44">
        <v>0.72916666666666663</v>
      </c>
      <c r="K12" s="43">
        <f t="shared" si="2"/>
        <v>0</v>
      </c>
      <c r="L12" s="44">
        <f>IFERROR(VLOOKUP(K12,기준!F:G,2,FALSE),"")</f>
        <v>0.72916666666666663</v>
      </c>
      <c r="M12" s="52">
        <f t="shared" si="1"/>
        <v>0</v>
      </c>
      <c r="N12" s="46" t="s">
        <v>55</v>
      </c>
      <c r="O12" s="42">
        <v>0.72916666666666696</v>
      </c>
      <c r="P12" s="53"/>
      <c r="Q12" s="54">
        <v>0</v>
      </c>
      <c r="R12" s="46" t="s">
        <v>53</v>
      </c>
      <c r="S12" s="48"/>
      <c r="U12" s="44">
        <v>0.75</v>
      </c>
      <c r="V12" s="49">
        <f t="shared" si="3"/>
        <v>0</v>
      </c>
    </row>
    <row r="13" spans="1:22" ht="17.25" customHeight="1" x14ac:dyDescent="0.3">
      <c r="A13" s="17"/>
      <c r="B13" s="50">
        <f t="shared" si="0"/>
        <v>7</v>
      </c>
      <c r="C13" s="41" t="s">
        <v>49</v>
      </c>
      <c r="D13" s="50" t="s">
        <v>61</v>
      </c>
      <c r="E13" s="50" t="s">
        <v>57</v>
      </c>
      <c r="F13" s="50" t="s">
        <v>52</v>
      </c>
      <c r="G13" s="42">
        <v>0.72916666666666663</v>
      </c>
      <c r="H13" s="53"/>
      <c r="I13" s="44">
        <v>0.35416666666666602</v>
      </c>
      <c r="J13" s="44">
        <v>0.72916666666666663</v>
      </c>
      <c r="K13" s="43">
        <f t="shared" si="2"/>
        <v>0</v>
      </c>
      <c r="L13" s="44">
        <f>IFERROR(VLOOKUP(K13,기준!F:G,2,FALSE),"")</f>
        <v>0.72916666666666663</v>
      </c>
      <c r="M13" s="52">
        <f t="shared" si="1"/>
        <v>0</v>
      </c>
      <c r="N13" s="46" t="s">
        <v>55</v>
      </c>
      <c r="O13" s="42">
        <v>0.72916666666666696</v>
      </c>
      <c r="P13" s="53"/>
      <c r="Q13" s="54">
        <v>0</v>
      </c>
      <c r="R13" s="46" t="s">
        <v>53</v>
      </c>
      <c r="S13" s="48"/>
      <c r="U13" s="44">
        <v>0.77083333333333304</v>
      </c>
      <c r="V13" s="49">
        <f t="shared" si="3"/>
        <v>0</v>
      </c>
    </row>
    <row r="14" spans="1:22" x14ac:dyDescent="0.3">
      <c r="A14" s="17"/>
      <c r="B14" s="50">
        <f t="shared" si="0"/>
        <v>8</v>
      </c>
      <c r="C14" s="41" t="s">
        <v>49</v>
      </c>
      <c r="D14" s="50" t="s">
        <v>8</v>
      </c>
      <c r="E14" s="50" t="s">
        <v>57</v>
      </c>
      <c r="F14" s="50" t="s">
        <v>62</v>
      </c>
      <c r="G14" s="42">
        <v>0.72916666666666663</v>
      </c>
      <c r="H14" s="55"/>
      <c r="I14" s="44">
        <v>0.35416666666666602</v>
      </c>
      <c r="J14" s="44">
        <v>0.72916666666666663</v>
      </c>
      <c r="K14" s="43">
        <f t="shared" si="2"/>
        <v>0</v>
      </c>
      <c r="L14" s="44">
        <f>IFERROR(VLOOKUP(K14,기준!F:G,2,FALSE),"")</f>
        <v>0.72916666666666663</v>
      </c>
      <c r="M14" s="52">
        <f t="shared" si="1"/>
        <v>0</v>
      </c>
      <c r="N14" s="46" t="s">
        <v>55</v>
      </c>
      <c r="O14" s="42">
        <v>0.72916666666666696</v>
      </c>
      <c r="P14" s="53"/>
      <c r="Q14" s="54">
        <v>0</v>
      </c>
      <c r="R14" s="46" t="s">
        <v>53</v>
      </c>
      <c r="S14" s="48"/>
      <c r="U14" s="44">
        <v>0.79166666666666696</v>
      </c>
      <c r="V14" s="49">
        <f t="shared" si="3"/>
        <v>0</v>
      </c>
    </row>
    <row r="15" spans="1:22" x14ac:dyDescent="0.3">
      <c r="A15" s="17"/>
      <c r="B15" s="50">
        <f t="shared" si="0"/>
        <v>9</v>
      </c>
      <c r="C15" s="51" t="s">
        <v>56</v>
      </c>
      <c r="D15" s="50" t="s">
        <v>7</v>
      </c>
      <c r="E15" s="50" t="s">
        <v>57</v>
      </c>
      <c r="F15" s="50" t="s">
        <v>62</v>
      </c>
      <c r="G15" s="42">
        <v>0.72916666666666663</v>
      </c>
      <c r="H15" s="55"/>
      <c r="I15" s="44">
        <v>0.35416666666666602</v>
      </c>
      <c r="J15" s="44">
        <v>0.72916666666666663</v>
      </c>
      <c r="K15" s="43">
        <f t="shared" si="2"/>
        <v>0</v>
      </c>
      <c r="L15" s="44">
        <f>IFERROR(VLOOKUP(K15,기준!F:G,2,FALSE),"")</f>
        <v>0.72916666666666663</v>
      </c>
      <c r="M15" s="52">
        <f t="shared" si="1"/>
        <v>0</v>
      </c>
      <c r="N15" s="46" t="s">
        <v>55</v>
      </c>
      <c r="O15" s="42">
        <v>0.72916666666666696</v>
      </c>
      <c r="P15" s="53"/>
      <c r="Q15" s="54">
        <v>0</v>
      </c>
      <c r="R15" s="46" t="s">
        <v>53</v>
      </c>
      <c r="S15" s="48"/>
      <c r="U15" s="44"/>
      <c r="V15" s="49"/>
    </row>
    <row r="16" spans="1:22" x14ac:dyDescent="0.3">
      <c r="A16" s="17"/>
      <c r="B16" s="50">
        <f t="shared" si="0"/>
        <v>10</v>
      </c>
      <c r="C16" s="51" t="s">
        <v>63</v>
      </c>
      <c r="D16" s="50" t="s">
        <v>5</v>
      </c>
      <c r="E16" s="50" t="s">
        <v>64</v>
      </c>
      <c r="F16" s="50" t="s">
        <v>65</v>
      </c>
      <c r="G16" s="42">
        <v>0.72916666666666663</v>
      </c>
      <c r="H16" s="53"/>
      <c r="I16" s="44">
        <v>0.35416666666666602</v>
      </c>
      <c r="J16" s="44">
        <v>0.72916666666666663</v>
      </c>
      <c r="K16" s="43">
        <f t="shared" si="2"/>
        <v>0</v>
      </c>
      <c r="L16" s="44">
        <f>IFERROR(VLOOKUP(K16,기준!F:G,2,FALSE),"")</f>
        <v>0.72916666666666663</v>
      </c>
      <c r="M16" s="52">
        <f t="shared" si="1"/>
        <v>0</v>
      </c>
      <c r="N16" s="46" t="s">
        <v>55</v>
      </c>
      <c r="O16" s="42">
        <v>0.72916666666666663</v>
      </c>
      <c r="P16" s="53" t="s">
        <v>54</v>
      </c>
      <c r="Q16" s="54">
        <v>0</v>
      </c>
      <c r="R16" s="46" t="s">
        <v>53</v>
      </c>
      <c r="S16" s="48" t="s">
        <v>55</v>
      </c>
      <c r="U16" s="44">
        <v>0.8125</v>
      </c>
      <c r="V16" s="49">
        <f t="shared" si="3"/>
        <v>0</v>
      </c>
    </row>
    <row r="17" spans="1:22" x14ac:dyDescent="0.3">
      <c r="A17" s="17"/>
      <c r="B17" s="50">
        <f t="shared" si="0"/>
        <v>11</v>
      </c>
      <c r="C17" s="41" t="s">
        <v>49</v>
      </c>
      <c r="D17" s="50" t="s">
        <v>66</v>
      </c>
      <c r="E17" s="50" t="s">
        <v>64</v>
      </c>
      <c r="F17" s="50" t="s">
        <v>65</v>
      </c>
      <c r="G17" s="42">
        <v>0.72916666666666663</v>
      </c>
      <c r="H17" s="55"/>
      <c r="I17" s="44">
        <v>0.35416666666666602</v>
      </c>
      <c r="J17" s="44">
        <v>0.72916666666666663</v>
      </c>
      <c r="K17" s="43">
        <f t="shared" si="2"/>
        <v>0</v>
      </c>
      <c r="L17" s="44">
        <f>IFERROR(VLOOKUP(K17,기준!F:G,2,FALSE),"")</f>
        <v>0.72916666666666663</v>
      </c>
      <c r="M17" s="52">
        <f t="shared" si="1"/>
        <v>0</v>
      </c>
      <c r="N17" s="46" t="s">
        <v>55</v>
      </c>
      <c r="O17" s="42">
        <v>0.72916666666666663</v>
      </c>
      <c r="P17" s="53" t="s">
        <v>54</v>
      </c>
      <c r="Q17" s="54">
        <v>0</v>
      </c>
      <c r="R17" s="46" t="s">
        <v>53</v>
      </c>
      <c r="S17" s="48" t="s">
        <v>58</v>
      </c>
      <c r="U17" s="42">
        <v>0.83333333333333337</v>
      </c>
      <c r="V17" s="49">
        <f t="shared" si="3"/>
        <v>0</v>
      </c>
    </row>
    <row r="18" spans="1:22" x14ac:dyDescent="0.3">
      <c r="A18" s="17"/>
      <c r="B18" s="50">
        <f t="shared" si="0"/>
        <v>12</v>
      </c>
      <c r="C18" s="50" t="s">
        <v>67</v>
      </c>
      <c r="D18" s="50" t="s">
        <v>2</v>
      </c>
      <c r="E18" s="50" t="s">
        <v>57</v>
      </c>
      <c r="F18" s="50" t="s">
        <v>52</v>
      </c>
      <c r="G18" s="42">
        <v>0.72916666666666663</v>
      </c>
      <c r="H18" s="55"/>
      <c r="I18" s="44">
        <v>0.35416666666666602</v>
      </c>
      <c r="J18" s="44">
        <v>0.72916666666666663</v>
      </c>
      <c r="K18" s="43">
        <f t="shared" si="2"/>
        <v>0</v>
      </c>
      <c r="L18" s="44">
        <f>IFERROR(VLOOKUP(K18,기준!F:G,2,FALSE),"")</f>
        <v>0.72916666666666663</v>
      </c>
      <c r="M18" s="52">
        <f t="shared" si="1"/>
        <v>0</v>
      </c>
      <c r="N18" s="46" t="s">
        <v>55</v>
      </c>
      <c r="O18" s="42">
        <v>0.72916666666666696</v>
      </c>
      <c r="P18" s="53"/>
      <c r="Q18" s="54">
        <v>0</v>
      </c>
      <c r="R18" s="46" t="s">
        <v>53</v>
      </c>
      <c r="S18" s="48"/>
      <c r="U18" s="44">
        <v>0.875000000000001</v>
      </c>
      <c r="V18" s="49">
        <f t="shared" si="3"/>
        <v>0</v>
      </c>
    </row>
    <row r="19" spans="1:22" x14ac:dyDescent="0.3">
      <c r="A19" s="17"/>
      <c r="B19" s="56">
        <f t="shared" si="0"/>
        <v>13</v>
      </c>
      <c r="C19" s="56" t="s">
        <v>68</v>
      </c>
      <c r="D19" s="56" t="s">
        <v>69</v>
      </c>
      <c r="E19" s="56" t="s">
        <v>57</v>
      </c>
      <c r="F19" s="56" t="s">
        <v>52</v>
      </c>
      <c r="G19" s="57">
        <v>0.72916666666666663</v>
      </c>
      <c r="H19" s="58"/>
      <c r="I19" s="59">
        <v>0.35416666666666602</v>
      </c>
      <c r="J19" s="59">
        <v>0.72916666666666663</v>
      </c>
      <c r="K19" s="60">
        <f>IFERROR(VLOOKUP(J19,[1]기준!B:C,2,FALSE),"")-IFERROR(VLOOKUP(I19,[1]기준!D:E,2,FALSE),"")</f>
        <v>0</v>
      </c>
      <c r="L19" s="44">
        <f>IFERROR(VLOOKUP(K19,기준!F:G,2,FALSE),"")</f>
        <v>0.72916666666666663</v>
      </c>
      <c r="M19" s="61">
        <f t="shared" si="1"/>
        <v>0</v>
      </c>
      <c r="N19" s="46" t="s">
        <v>55</v>
      </c>
      <c r="O19" s="57">
        <v>0.72916666666666696</v>
      </c>
      <c r="P19" s="58"/>
      <c r="Q19" s="63">
        <v>0</v>
      </c>
      <c r="R19" s="46" t="s">
        <v>53</v>
      </c>
      <c r="S19" s="48"/>
      <c r="U19" s="44">
        <v>0.89583333333333404</v>
      </c>
      <c r="V19" s="49">
        <f t="shared" si="3"/>
        <v>0</v>
      </c>
    </row>
    <row r="20" spans="1:22" x14ac:dyDescent="0.3">
      <c r="B20" s="51">
        <f t="shared" si="0"/>
        <v>14</v>
      </c>
      <c r="C20" s="77" t="s">
        <v>49</v>
      </c>
      <c r="D20" s="51" t="s">
        <v>66</v>
      </c>
      <c r="E20" s="51" t="s">
        <v>64</v>
      </c>
      <c r="F20" s="51" t="s">
        <v>65</v>
      </c>
      <c r="G20" s="78">
        <v>0.72916666666666663</v>
      </c>
      <c r="H20" s="84"/>
      <c r="I20" s="78">
        <v>0.35416666666666602</v>
      </c>
      <c r="J20" s="78">
        <v>0.72916666666666663</v>
      </c>
      <c r="K20" s="79">
        <f>IFERROR(VLOOKUP(J20,기준!B:C,2,FALSE),"")-IFERROR(VLOOKUP(I20,기준!D:E,2,FALSE),"")</f>
        <v>0</v>
      </c>
      <c r="L20" s="78">
        <f>IFERROR(VLOOKUP(K20,기준!F:G,2,FALSE),"")</f>
        <v>0.72916666666666663</v>
      </c>
      <c r="M20" s="83">
        <f t="shared" si="1"/>
        <v>0</v>
      </c>
      <c r="N20" s="46" t="s">
        <v>55</v>
      </c>
      <c r="O20" s="78">
        <v>0.72916666666666663</v>
      </c>
      <c r="P20" s="82" t="s">
        <v>54</v>
      </c>
      <c r="Q20" s="82">
        <v>0</v>
      </c>
      <c r="R20" s="46" t="s">
        <v>53</v>
      </c>
      <c r="U20" s="44">
        <v>1</v>
      </c>
      <c r="V20" s="49">
        <f t="shared" si="3"/>
        <v>0</v>
      </c>
    </row>
    <row r="21" spans="1:22" x14ac:dyDescent="0.3">
      <c r="B21" s="51">
        <f t="shared" si="0"/>
        <v>15</v>
      </c>
      <c r="C21" s="51" t="s">
        <v>67</v>
      </c>
      <c r="D21" s="51" t="s">
        <v>2</v>
      </c>
      <c r="E21" s="51" t="s">
        <v>57</v>
      </c>
      <c r="F21" s="51" t="s">
        <v>52</v>
      </c>
      <c r="G21" s="78">
        <v>0.72916666666666663</v>
      </c>
      <c r="H21" s="84"/>
      <c r="I21" s="78">
        <v>0.35416666666666602</v>
      </c>
      <c r="J21" s="78">
        <v>0.72916666666666663</v>
      </c>
      <c r="K21" s="79">
        <f>IFERROR(VLOOKUP(J21,기준!B:C,2,FALSE),"")-IFERROR(VLOOKUP(I21,기준!D:E,2,FALSE),"")</f>
        <v>0</v>
      </c>
      <c r="L21" s="78">
        <f>IFERROR(VLOOKUP(K21,기준!F:G,2,FALSE),"")</f>
        <v>0.72916666666666663</v>
      </c>
      <c r="M21" s="83">
        <f t="shared" si="1"/>
        <v>0</v>
      </c>
      <c r="N21" s="46" t="s">
        <v>55</v>
      </c>
      <c r="O21" s="78">
        <v>0.72916666666666663</v>
      </c>
      <c r="P21" s="82"/>
      <c r="Q21" s="82">
        <v>0</v>
      </c>
      <c r="R21" s="46" t="s">
        <v>53</v>
      </c>
      <c r="U21" s="44">
        <v>1.0208333333333299</v>
      </c>
      <c r="V21" s="49">
        <f t="shared" si="3"/>
        <v>0</v>
      </c>
    </row>
    <row r="22" spans="1:22" x14ac:dyDescent="0.3">
      <c r="B22" s="51">
        <f t="shared" si="0"/>
        <v>16</v>
      </c>
      <c r="C22" s="51" t="s">
        <v>68</v>
      </c>
      <c r="D22" s="51" t="s">
        <v>69</v>
      </c>
      <c r="E22" s="51" t="s">
        <v>57</v>
      </c>
      <c r="F22" s="51" t="s">
        <v>52</v>
      </c>
      <c r="G22" s="78">
        <v>0.72916666666666663</v>
      </c>
      <c r="H22" s="82"/>
      <c r="I22" s="78">
        <v>0.35416666666666602</v>
      </c>
      <c r="J22" s="78">
        <v>0.72916666666666663</v>
      </c>
      <c r="K22" s="79">
        <f>IFERROR(VLOOKUP(J22,기준!B:C,2,FALSE),"")-IFERROR(VLOOKUP(I22,기준!D:E,2,FALSE),"")</f>
        <v>0</v>
      </c>
      <c r="L22" s="78">
        <f>IFERROR(VLOOKUP(K22,기준!F:G,2,FALSE),"")</f>
        <v>0.72916666666666663</v>
      </c>
      <c r="M22" s="83">
        <f t="shared" si="1"/>
        <v>0</v>
      </c>
      <c r="N22" s="46" t="s">
        <v>55</v>
      </c>
      <c r="O22" s="78">
        <v>0.72916666666666663</v>
      </c>
      <c r="P22" s="82"/>
      <c r="Q22" s="82">
        <v>0</v>
      </c>
      <c r="R22" s="46" t="s">
        <v>53</v>
      </c>
      <c r="U22" s="44">
        <v>1.0416666666666701</v>
      </c>
      <c r="V22" s="49">
        <f t="shared" si="3"/>
        <v>0</v>
      </c>
    </row>
    <row r="23" spans="1:22" x14ac:dyDescent="0.3">
      <c r="B23" s="51">
        <f t="shared" si="0"/>
        <v>17</v>
      </c>
      <c r="C23" s="51" t="s">
        <v>68</v>
      </c>
      <c r="D23" s="51" t="s">
        <v>69</v>
      </c>
      <c r="E23" s="51" t="s">
        <v>57</v>
      </c>
      <c r="F23" s="51" t="s">
        <v>52</v>
      </c>
      <c r="G23" s="78">
        <v>0.72916666666666663</v>
      </c>
      <c r="H23" s="82"/>
      <c r="I23" s="78">
        <v>0.35416666666666602</v>
      </c>
      <c r="J23" s="78">
        <v>0.72916666666666663</v>
      </c>
      <c r="K23" s="79">
        <f>IFERROR(VLOOKUP(J23,기준!B:C,2,FALSE),"")-IFERROR(VLOOKUP(I23,기준!D:E,2,FALSE),"")</f>
        <v>0</v>
      </c>
      <c r="L23" s="78">
        <f>IFERROR(VLOOKUP(K23,기준!F:G,2,FALSE),"")</f>
        <v>0.72916666666666663</v>
      </c>
      <c r="M23" s="83">
        <f t="shared" si="1"/>
        <v>0</v>
      </c>
      <c r="N23" s="46" t="s">
        <v>55</v>
      </c>
      <c r="O23" s="78">
        <v>0.72916666666666696</v>
      </c>
      <c r="P23" s="82"/>
      <c r="Q23" s="82">
        <v>0</v>
      </c>
      <c r="R23" s="46" t="s">
        <v>53</v>
      </c>
      <c r="U23" s="44">
        <v>1.0625</v>
      </c>
      <c r="V23" s="49">
        <f t="shared" si="3"/>
        <v>0</v>
      </c>
    </row>
    <row r="24" spans="1:22" x14ac:dyDescent="0.3">
      <c r="B24" s="51">
        <f t="shared" si="0"/>
        <v>18</v>
      </c>
      <c r="C24" s="51" t="s">
        <v>68</v>
      </c>
      <c r="D24" s="51" t="s">
        <v>69</v>
      </c>
      <c r="E24" s="51" t="s">
        <v>57</v>
      </c>
      <c r="F24" s="51" t="s">
        <v>52</v>
      </c>
      <c r="G24" s="78">
        <v>0.72916666666666663</v>
      </c>
      <c r="H24" s="82"/>
      <c r="I24" s="78">
        <v>0.35416666666666602</v>
      </c>
      <c r="J24" s="78">
        <v>0.72916666666666663</v>
      </c>
      <c r="K24" s="79">
        <f>IFERROR(VLOOKUP(J24,기준!B:C,2,FALSE),"")-IFERROR(VLOOKUP(I24,기준!D:E,2,FALSE),"")</f>
        <v>0</v>
      </c>
      <c r="L24" s="78">
        <f>IFERROR(VLOOKUP(K24,기준!F:G,2,FALSE),"")</f>
        <v>0.72916666666666663</v>
      </c>
      <c r="M24" s="83">
        <f t="shared" si="1"/>
        <v>0</v>
      </c>
      <c r="N24" s="46" t="s">
        <v>55</v>
      </c>
      <c r="O24" s="78">
        <v>0.72916666666666696</v>
      </c>
      <c r="P24" s="82"/>
      <c r="Q24" s="82">
        <v>0</v>
      </c>
      <c r="R24" s="46" t="s">
        <v>53</v>
      </c>
      <c r="U24" s="44">
        <v>1.0833333333333299</v>
      </c>
      <c r="V24" s="64">
        <f t="shared" si="3"/>
        <v>0</v>
      </c>
    </row>
    <row r="25" spans="1:22" x14ac:dyDescent="0.3">
      <c r="B25" s="51">
        <f t="shared" si="0"/>
        <v>19</v>
      </c>
      <c r="C25" s="51" t="s">
        <v>68</v>
      </c>
      <c r="D25" s="51" t="s">
        <v>69</v>
      </c>
      <c r="E25" s="51" t="s">
        <v>57</v>
      </c>
      <c r="F25" s="51" t="s">
        <v>52</v>
      </c>
      <c r="G25" s="78">
        <v>0.72916666666666663</v>
      </c>
      <c r="H25" s="82"/>
      <c r="I25" s="78">
        <v>0.35416666666666602</v>
      </c>
      <c r="J25" s="78">
        <v>0.72916666666666663</v>
      </c>
      <c r="K25" s="79">
        <f>IFERROR(VLOOKUP(J25,기준!B:C,2,FALSE),"")-IFERROR(VLOOKUP(I25,기준!D:E,2,FALSE),"")</f>
        <v>0</v>
      </c>
      <c r="L25" s="78">
        <f>IFERROR(VLOOKUP(K25,기준!F:G,2,FALSE),"")</f>
        <v>0.72916666666666663</v>
      </c>
      <c r="M25" s="83">
        <f t="shared" si="1"/>
        <v>0</v>
      </c>
      <c r="N25" s="46" t="s">
        <v>55</v>
      </c>
      <c r="O25" s="78">
        <v>0.72916666666666696</v>
      </c>
      <c r="P25" s="82"/>
      <c r="Q25" s="82">
        <v>0</v>
      </c>
      <c r="R25" s="46" t="s">
        <v>53</v>
      </c>
    </row>
    <row r="26" spans="1:22" x14ac:dyDescent="0.3">
      <c r="B26" s="51">
        <f t="shared" si="0"/>
        <v>20</v>
      </c>
      <c r="C26" s="51" t="s">
        <v>68</v>
      </c>
      <c r="D26" s="51" t="s">
        <v>69</v>
      </c>
      <c r="E26" s="51" t="s">
        <v>57</v>
      </c>
      <c r="F26" s="51" t="s">
        <v>52</v>
      </c>
      <c r="G26" s="78">
        <v>0.72916666666666663</v>
      </c>
      <c r="H26" s="82"/>
      <c r="I26" s="78">
        <v>0.35416666666666602</v>
      </c>
      <c r="J26" s="78">
        <v>0.72916666666666663</v>
      </c>
      <c r="K26" s="79">
        <f>IFERROR(VLOOKUP(J26,기준!B:C,2,FALSE),"")-IFERROR(VLOOKUP(I26,기준!D:E,2,FALSE),"")</f>
        <v>0</v>
      </c>
      <c r="L26" s="78">
        <f>IFERROR(VLOOKUP(K26,기준!F:G,2,FALSE),"")</f>
        <v>0.72916666666666663</v>
      </c>
      <c r="M26" s="83">
        <f t="shared" si="1"/>
        <v>0</v>
      </c>
      <c r="N26" s="46" t="s">
        <v>55</v>
      </c>
      <c r="O26" s="78">
        <v>0.72916666666666696</v>
      </c>
      <c r="P26" s="82"/>
      <c r="Q26" s="82">
        <v>0</v>
      </c>
      <c r="R26" s="46" t="s">
        <v>53</v>
      </c>
    </row>
    <row r="27" spans="1:22" x14ac:dyDescent="0.3">
      <c r="B27" s="51">
        <f t="shared" si="0"/>
        <v>21</v>
      </c>
      <c r="C27" s="51" t="s">
        <v>68</v>
      </c>
      <c r="D27" s="51" t="s">
        <v>69</v>
      </c>
      <c r="E27" s="51" t="s">
        <v>57</v>
      </c>
      <c r="F27" s="51" t="s">
        <v>52</v>
      </c>
      <c r="G27" s="78">
        <v>0.72916666666666663</v>
      </c>
      <c r="H27" s="82"/>
      <c r="I27" s="78">
        <v>0.35416666666666602</v>
      </c>
      <c r="J27" s="78">
        <v>0.72916666666666663</v>
      </c>
      <c r="K27" s="79">
        <f>IFERROR(VLOOKUP(J27,기준!B:C,2,FALSE),"")-IFERROR(VLOOKUP(I27,기준!D:E,2,FALSE),"")</f>
        <v>0</v>
      </c>
      <c r="L27" s="78">
        <f>IFERROR(VLOOKUP(K27,기준!F:G,2,FALSE),"")</f>
        <v>0.72916666666666663</v>
      </c>
      <c r="M27" s="83">
        <f t="shared" si="1"/>
        <v>0</v>
      </c>
      <c r="N27" s="46" t="s">
        <v>55</v>
      </c>
      <c r="O27" s="78">
        <v>0.72916666666666663</v>
      </c>
      <c r="P27" s="82"/>
      <c r="Q27" s="82">
        <v>0</v>
      </c>
      <c r="R27" s="46" t="s">
        <v>53</v>
      </c>
    </row>
    <row r="28" spans="1:22" x14ac:dyDescent="0.3">
      <c r="B28" s="51">
        <f t="shared" si="0"/>
        <v>22</v>
      </c>
      <c r="C28" s="51" t="s">
        <v>68</v>
      </c>
      <c r="D28" s="51" t="s">
        <v>69</v>
      </c>
      <c r="E28" s="51" t="s">
        <v>57</v>
      </c>
      <c r="F28" s="51" t="s">
        <v>52</v>
      </c>
      <c r="G28" s="78">
        <v>0.72916666666666663</v>
      </c>
      <c r="H28" s="82"/>
      <c r="I28" s="78">
        <v>0.35416666666666602</v>
      </c>
      <c r="J28" s="78">
        <v>0.72916666666666663</v>
      </c>
      <c r="K28" s="79">
        <f>IFERROR(VLOOKUP(J28,기준!B:C,2,FALSE),"")-IFERROR(VLOOKUP(I28,기준!D:E,2,FALSE),"")</f>
        <v>0</v>
      </c>
      <c r="L28" s="78">
        <f>IFERROR(VLOOKUP(K28,기준!F:G,2,FALSE),"")</f>
        <v>0.72916666666666663</v>
      </c>
      <c r="M28" s="83">
        <f t="shared" si="1"/>
        <v>0</v>
      </c>
      <c r="N28" s="46" t="s">
        <v>55</v>
      </c>
      <c r="O28" s="78">
        <v>0.72916666666666663</v>
      </c>
      <c r="P28" s="82"/>
      <c r="Q28" s="82">
        <v>0</v>
      </c>
      <c r="R28" s="46" t="s">
        <v>53</v>
      </c>
    </row>
    <row r="29" spans="1:22" x14ac:dyDescent="0.3">
      <c r="B29" s="51">
        <f t="shared" si="0"/>
        <v>23</v>
      </c>
      <c r="C29" s="51" t="s">
        <v>68</v>
      </c>
      <c r="D29" s="51" t="s">
        <v>69</v>
      </c>
      <c r="E29" s="51" t="s">
        <v>57</v>
      </c>
      <c r="F29" s="51" t="s">
        <v>52</v>
      </c>
      <c r="G29" s="78">
        <v>0.72916666666666663</v>
      </c>
      <c r="H29" s="82"/>
      <c r="I29" s="78">
        <v>0.35416666666666602</v>
      </c>
      <c r="J29" s="78">
        <v>0.72916666666666663</v>
      </c>
      <c r="K29" s="79">
        <f>IFERROR(VLOOKUP(J29,기준!B:C,2,FALSE),"")-IFERROR(VLOOKUP(I29,기준!D:E,2,FALSE),"")</f>
        <v>0</v>
      </c>
      <c r="L29" s="78">
        <f>IFERROR(VLOOKUP(K29,기준!F:G,2,FALSE),"")</f>
        <v>0.72916666666666663</v>
      </c>
      <c r="M29" s="83">
        <f t="shared" si="1"/>
        <v>0</v>
      </c>
      <c r="N29" s="46" t="s">
        <v>55</v>
      </c>
      <c r="O29" s="78">
        <v>0.72916666666666696</v>
      </c>
      <c r="P29" s="82"/>
      <c r="Q29" s="82">
        <v>0</v>
      </c>
      <c r="R29" s="46" t="s">
        <v>53</v>
      </c>
    </row>
    <row r="30" spans="1:22" x14ac:dyDescent="0.3">
      <c r="B30" s="51">
        <f t="shared" si="0"/>
        <v>24</v>
      </c>
      <c r="C30" s="51" t="s">
        <v>68</v>
      </c>
      <c r="D30" s="51" t="s">
        <v>69</v>
      </c>
      <c r="E30" s="51" t="s">
        <v>57</v>
      </c>
      <c r="F30" s="51" t="s">
        <v>52</v>
      </c>
      <c r="G30" s="78">
        <v>0.72916666666666663</v>
      </c>
      <c r="H30" s="82"/>
      <c r="I30" s="78">
        <v>0.35416666666666602</v>
      </c>
      <c r="J30" s="78">
        <v>0.72916666666666663</v>
      </c>
      <c r="K30" s="79">
        <f>IFERROR(VLOOKUP(J30,기준!B:C,2,FALSE),"")-IFERROR(VLOOKUP(I30,기준!D:E,2,FALSE),"")</f>
        <v>0</v>
      </c>
      <c r="L30" s="78">
        <f>IFERROR(VLOOKUP(K30,기준!F:G,2,FALSE),"")</f>
        <v>0.72916666666666663</v>
      </c>
      <c r="M30" s="83">
        <f t="shared" si="1"/>
        <v>0</v>
      </c>
      <c r="N30" s="46" t="s">
        <v>55</v>
      </c>
      <c r="O30" s="78">
        <v>0.72916666666666696</v>
      </c>
      <c r="P30" s="82"/>
      <c r="Q30" s="82">
        <v>0</v>
      </c>
      <c r="R30" s="46" t="s">
        <v>53</v>
      </c>
    </row>
    <row r="31" spans="1:22" x14ac:dyDescent="0.3">
      <c r="B31" s="51">
        <f t="shared" si="0"/>
        <v>25</v>
      </c>
      <c r="C31" s="51" t="s">
        <v>68</v>
      </c>
      <c r="D31" s="51" t="s">
        <v>69</v>
      </c>
      <c r="E31" s="51" t="s">
        <v>57</v>
      </c>
      <c r="F31" s="51" t="s">
        <v>52</v>
      </c>
      <c r="G31" s="78">
        <v>0.72916666666666663</v>
      </c>
      <c r="H31" s="82"/>
      <c r="I31" s="78">
        <v>0.35416666666666602</v>
      </c>
      <c r="J31" s="78">
        <v>0.72916666666666663</v>
      </c>
      <c r="K31" s="79">
        <f>IFERROR(VLOOKUP(J31,기준!B:C,2,FALSE),"")-IFERROR(VLOOKUP(I31,기준!D:E,2,FALSE),"")</f>
        <v>0</v>
      </c>
      <c r="L31" s="78">
        <f>IFERROR(VLOOKUP(K31,기준!F:G,2,FALSE),"")</f>
        <v>0.72916666666666663</v>
      </c>
      <c r="M31" s="83">
        <f t="shared" si="1"/>
        <v>0</v>
      </c>
      <c r="N31" s="46" t="s">
        <v>55</v>
      </c>
      <c r="O31" s="78">
        <v>0.72916666666666696</v>
      </c>
      <c r="P31" s="82"/>
      <c r="Q31" s="82">
        <v>0</v>
      </c>
      <c r="R31" s="46" t="s">
        <v>53</v>
      </c>
    </row>
    <row r="32" spans="1:22" x14ac:dyDescent="0.3">
      <c r="B32" s="51">
        <f t="shared" si="0"/>
        <v>26</v>
      </c>
      <c r="C32" s="51" t="s">
        <v>68</v>
      </c>
      <c r="D32" s="51" t="s">
        <v>69</v>
      </c>
      <c r="E32" s="51" t="s">
        <v>57</v>
      </c>
      <c r="F32" s="51" t="s">
        <v>52</v>
      </c>
      <c r="G32" s="78">
        <v>0.72916666666666663</v>
      </c>
      <c r="H32" s="82"/>
      <c r="I32" s="78">
        <v>0.35416666666666602</v>
      </c>
      <c r="J32" s="78">
        <v>0.72916666666666663</v>
      </c>
      <c r="K32" s="79">
        <f>IFERROR(VLOOKUP(J32,기준!B:C,2,FALSE),"")-IFERROR(VLOOKUP(I32,기준!D:E,2,FALSE),"")</f>
        <v>0</v>
      </c>
      <c r="L32" s="78">
        <f>IFERROR(VLOOKUP(K32,기준!F:G,2,FALSE),"")</f>
        <v>0.72916666666666663</v>
      </c>
      <c r="M32" s="83">
        <f t="shared" si="1"/>
        <v>0</v>
      </c>
      <c r="N32" s="46" t="s">
        <v>55</v>
      </c>
      <c r="O32" s="78">
        <v>0.72916666666666696</v>
      </c>
      <c r="P32" s="82"/>
      <c r="Q32" s="82">
        <v>0</v>
      </c>
      <c r="R32" s="46" t="s">
        <v>53</v>
      </c>
    </row>
    <row r="33" spans="2:18" x14ac:dyDescent="0.3">
      <c r="B33" s="51">
        <f t="shared" si="0"/>
        <v>27</v>
      </c>
      <c r="C33" s="51" t="s">
        <v>68</v>
      </c>
      <c r="D33" s="51" t="s">
        <v>69</v>
      </c>
      <c r="E33" s="51" t="s">
        <v>57</v>
      </c>
      <c r="F33" s="51" t="s">
        <v>52</v>
      </c>
      <c r="G33" s="78">
        <v>0.72916666666666663</v>
      </c>
      <c r="H33" s="82"/>
      <c r="I33" s="78">
        <v>0.35416666666666602</v>
      </c>
      <c r="J33" s="78">
        <v>0.72916666666666663</v>
      </c>
      <c r="K33" s="79">
        <f>IFERROR(VLOOKUP(J33,기준!B:C,2,FALSE),"")-IFERROR(VLOOKUP(I33,기준!D:E,2,FALSE),"")</f>
        <v>0</v>
      </c>
      <c r="L33" s="78">
        <f>IFERROR(VLOOKUP(K33,기준!F:G,2,FALSE),"")</f>
        <v>0.72916666666666663</v>
      </c>
      <c r="M33" s="83">
        <f t="shared" si="1"/>
        <v>0</v>
      </c>
      <c r="N33" s="46" t="s">
        <v>55</v>
      </c>
      <c r="O33" s="78">
        <v>0.72916666666666663</v>
      </c>
      <c r="P33" s="82"/>
      <c r="Q33" s="82">
        <v>0</v>
      </c>
      <c r="R33" s="46" t="s">
        <v>53</v>
      </c>
    </row>
    <row r="34" spans="2:18" x14ac:dyDescent="0.3">
      <c r="B34" s="51">
        <f t="shared" si="0"/>
        <v>28</v>
      </c>
      <c r="C34" s="51" t="s">
        <v>68</v>
      </c>
      <c r="D34" s="51" t="s">
        <v>69</v>
      </c>
      <c r="E34" s="51" t="s">
        <v>57</v>
      </c>
      <c r="F34" s="51" t="s">
        <v>52</v>
      </c>
      <c r="G34" s="78">
        <v>0.72916666666666663</v>
      </c>
      <c r="H34" s="82"/>
      <c r="I34" s="78">
        <v>0.35416666666666602</v>
      </c>
      <c r="J34" s="78">
        <v>0.72916666666666663</v>
      </c>
      <c r="K34" s="79">
        <f>IFERROR(VLOOKUP(J34,기준!B:C,2,FALSE),"")-IFERROR(VLOOKUP(I34,기준!D:E,2,FALSE),"")</f>
        <v>0</v>
      </c>
      <c r="L34" s="78">
        <f>IFERROR(VLOOKUP(K34,기준!F:G,2,FALSE),"")</f>
        <v>0.72916666666666663</v>
      </c>
      <c r="M34" s="83">
        <f t="shared" si="1"/>
        <v>0</v>
      </c>
      <c r="N34" s="46" t="s">
        <v>55</v>
      </c>
      <c r="O34" s="78">
        <v>0.72916666666666663</v>
      </c>
      <c r="P34" s="82"/>
      <c r="Q34" s="82">
        <v>0</v>
      </c>
      <c r="R34" s="46" t="s">
        <v>53</v>
      </c>
    </row>
    <row r="35" spans="2:18" x14ac:dyDescent="0.3">
      <c r="B35" s="51">
        <f t="shared" si="0"/>
        <v>29</v>
      </c>
      <c r="C35" s="51" t="s">
        <v>68</v>
      </c>
      <c r="D35" s="51" t="s">
        <v>69</v>
      </c>
      <c r="E35" s="51" t="s">
        <v>57</v>
      </c>
      <c r="F35" s="51" t="s">
        <v>52</v>
      </c>
      <c r="G35" s="78">
        <v>0.72916666666666663</v>
      </c>
      <c r="H35" s="82"/>
      <c r="I35" s="78">
        <v>0.35416666666666602</v>
      </c>
      <c r="J35" s="78">
        <v>0.72916666666666663</v>
      </c>
      <c r="K35" s="79">
        <f>IFERROR(VLOOKUP(J35,기준!B:C,2,FALSE),"")-IFERROR(VLOOKUP(I35,기준!D:E,2,FALSE),"")</f>
        <v>0</v>
      </c>
      <c r="L35" s="78">
        <f>IFERROR(VLOOKUP(K35,기준!F:G,2,FALSE),"")</f>
        <v>0.72916666666666663</v>
      </c>
      <c r="M35" s="83">
        <f t="shared" si="1"/>
        <v>0</v>
      </c>
      <c r="N35" s="46" t="s">
        <v>55</v>
      </c>
      <c r="O35" s="78">
        <v>0.72916666666666696</v>
      </c>
      <c r="P35" s="82"/>
      <c r="Q35" s="82">
        <v>0</v>
      </c>
      <c r="R35" s="46" t="s">
        <v>53</v>
      </c>
    </row>
    <row r="36" spans="2:18" x14ac:dyDescent="0.3">
      <c r="B36" s="51">
        <f t="shared" si="0"/>
        <v>30</v>
      </c>
      <c r="C36" s="51" t="s">
        <v>68</v>
      </c>
      <c r="D36" s="51" t="s">
        <v>69</v>
      </c>
      <c r="E36" s="51" t="s">
        <v>57</v>
      </c>
      <c r="F36" s="51" t="s">
        <v>52</v>
      </c>
      <c r="G36" s="78">
        <v>0.72916666666666663</v>
      </c>
      <c r="H36" s="82"/>
      <c r="I36" s="78">
        <v>0.35416666666666602</v>
      </c>
      <c r="J36" s="78">
        <v>0.72916666666666663</v>
      </c>
      <c r="K36" s="79">
        <f>IFERROR(VLOOKUP(J36,기준!B:C,2,FALSE),"")-IFERROR(VLOOKUP(I36,기준!D:E,2,FALSE),"")</f>
        <v>0</v>
      </c>
      <c r="L36" s="78">
        <f>IFERROR(VLOOKUP(K36,기준!F:G,2,FALSE),"")</f>
        <v>0.72916666666666663</v>
      </c>
      <c r="M36" s="83">
        <f t="shared" si="1"/>
        <v>0</v>
      </c>
      <c r="N36" s="46" t="s">
        <v>55</v>
      </c>
      <c r="O36" s="78">
        <v>0.72916666666666696</v>
      </c>
      <c r="P36" s="82"/>
      <c r="Q36" s="82">
        <v>0</v>
      </c>
      <c r="R36" s="46" t="s">
        <v>53</v>
      </c>
    </row>
    <row r="37" spans="2:18" x14ac:dyDescent="0.3">
      <c r="B37" s="51">
        <f t="shared" si="0"/>
        <v>31</v>
      </c>
      <c r="C37" s="51" t="s">
        <v>68</v>
      </c>
      <c r="D37" s="51" t="s">
        <v>69</v>
      </c>
      <c r="E37" s="51" t="s">
        <v>57</v>
      </c>
      <c r="F37" s="51" t="s">
        <v>52</v>
      </c>
      <c r="G37" s="78">
        <v>0.72916666666666663</v>
      </c>
      <c r="H37" s="82"/>
      <c r="I37" s="78">
        <v>0.35416666666666602</v>
      </c>
      <c r="J37" s="78">
        <v>0.72916666666666663</v>
      </c>
      <c r="K37" s="79">
        <f>IFERROR(VLOOKUP(J37,기준!B:C,2,FALSE),"")-IFERROR(VLOOKUP(I37,기준!D:E,2,FALSE),"")</f>
        <v>0</v>
      </c>
      <c r="L37" s="78">
        <f>IFERROR(VLOOKUP(K37,기준!F:G,2,FALSE),"")</f>
        <v>0.72916666666666663</v>
      </c>
      <c r="M37" s="83">
        <f t="shared" si="1"/>
        <v>0</v>
      </c>
      <c r="N37" s="46" t="s">
        <v>55</v>
      </c>
      <c r="O37" s="78">
        <v>0.72916666666666696</v>
      </c>
      <c r="P37" s="82"/>
      <c r="Q37" s="82">
        <v>0</v>
      </c>
      <c r="R37" s="46" t="s">
        <v>53</v>
      </c>
    </row>
    <row r="38" spans="2:18" x14ac:dyDescent="0.3">
      <c r="B38" s="51">
        <f t="shared" si="0"/>
        <v>32</v>
      </c>
      <c r="C38" s="51" t="s">
        <v>68</v>
      </c>
      <c r="D38" s="51" t="s">
        <v>69</v>
      </c>
      <c r="E38" s="51" t="s">
        <v>57</v>
      </c>
      <c r="F38" s="51" t="s">
        <v>52</v>
      </c>
      <c r="G38" s="78">
        <v>0.72916666666666663</v>
      </c>
      <c r="H38" s="82"/>
      <c r="I38" s="78">
        <v>0.35416666666666602</v>
      </c>
      <c r="J38" s="78">
        <v>0.72916666666666663</v>
      </c>
      <c r="K38" s="79">
        <f>IFERROR(VLOOKUP(J38,기준!B:C,2,FALSE),"")-IFERROR(VLOOKUP(I38,기준!D:E,2,FALSE),"")</f>
        <v>0</v>
      </c>
      <c r="L38" s="78">
        <f>IFERROR(VLOOKUP(K38,기준!F:G,2,FALSE),"")</f>
        <v>0.72916666666666663</v>
      </c>
      <c r="M38" s="83">
        <f t="shared" si="1"/>
        <v>0</v>
      </c>
      <c r="N38" s="46" t="s">
        <v>55</v>
      </c>
      <c r="O38" s="78">
        <v>0.72916666666666696</v>
      </c>
      <c r="P38" s="82"/>
      <c r="Q38" s="82">
        <v>0</v>
      </c>
      <c r="R38" s="46" t="s">
        <v>53</v>
      </c>
    </row>
    <row r="39" spans="2:18" x14ac:dyDescent="0.3">
      <c r="B39" s="51">
        <f t="shared" si="0"/>
        <v>33</v>
      </c>
      <c r="C39" s="51" t="s">
        <v>68</v>
      </c>
      <c r="D39" s="51" t="s">
        <v>69</v>
      </c>
      <c r="E39" s="51" t="s">
        <v>57</v>
      </c>
      <c r="F39" s="51" t="s">
        <v>52</v>
      </c>
      <c r="G39" s="78">
        <v>0.72916666666666663</v>
      </c>
      <c r="H39" s="82"/>
      <c r="I39" s="78">
        <v>0.35416666666666602</v>
      </c>
      <c r="J39" s="78">
        <v>0.72916666666666663</v>
      </c>
      <c r="K39" s="79">
        <f>IFERROR(VLOOKUP(J39,기준!B:C,2,FALSE),"")-IFERROR(VLOOKUP(I39,기준!D:E,2,FALSE),"")</f>
        <v>0</v>
      </c>
      <c r="L39" s="78">
        <f>IFERROR(VLOOKUP(K39,기준!F:G,2,FALSE),"")</f>
        <v>0.72916666666666663</v>
      </c>
      <c r="M39" s="83">
        <f t="shared" si="1"/>
        <v>0</v>
      </c>
      <c r="N39" s="46" t="s">
        <v>55</v>
      </c>
      <c r="O39" s="78">
        <v>0.72916666666666663</v>
      </c>
      <c r="P39" s="82"/>
      <c r="Q39" s="82">
        <v>0</v>
      </c>
      <c r="R39" s="46" t="s">
        <v>53</v>
      </c>
    </row>
    <row r="40" spans="2:18" x14ac:dyDescent="0.3">
      <c r="B40" s="51">
        <f t="shared" si="0"/>
        <v>34</v>
      </c>
      <c r="C40" s="51" t="s">
        <v>68</v>
      </c>
      <c r="D40" s="51" t="s">
        <v>69</v>
      </c>
      <c r="E40" s="51" t="s">
        <v>57</v>
      </c>
      <c r="F40" s="51" t="s">
        <v>52</v>
      </c>
      <c r="G40" s="78">
        <v>0.72916666666666663</v>
      </c>
      <c r="H40" s="82"/>
      <c r="I40" s="78">
        <v>0.35416666666666602</v>
      </c>
      <c r="J40" s="78">
        <v>0.72916666666666663</v>
      </c>
      <c r="K40" s="79">
        <f>IFERROR(VLOOKUP(J40,기준!B:C,2,FALSE),"")-IFERROR(VLOOKUP(I40,기준!D:E,2,FALSE),"")</f>
        <v>0</v>
      </c>
      <c r="L40" s="78">
        <f>IFERROR(VLOOKUP(K40,기준!F:G,2,FALSE),"")</f>
        <v>0.72916666666666663</v>
      </c>
      <c r="M40" s="83">
        <f t="shared" si="1"/>
        <v>0</v>
      </c>
      <c r="N40" s="46" t="s">
        <v>55</v>
      </c>
      <c r="O40" s="78">
        <v>0.72916666666666663</v>
      </c>
      <c r="P40" s="82"/>
      <c r="Q40" s="82">
        <v>0</v>
      </c>
      <c r="R40" s="46" t="s">
        <v>53</v>
      </c>
    </row>
    <row r="41" spans="2:18" x14ac:dyDescent="0.3">
      <c r="B41" s="51">
        <f t="shared" si="0"/>
        <v>35</v>
      </c>
      <c r="C41" s="51" t="s">
        <v>68</v>
      </c>
      <c r="D41" s="51" t="s">
        <v>69</v>
      </c>
      <c r="E41" s="51" t="s">
        <v>57</v>
      </c>
      <c r="F41" s="51" t="s">
        <v>52</v>
      </c>
      <c r="G41" s="78">
        <v>0.72916666666666663</v>
      </c>
      <c r="H41" s="82"/>
      <c r="I41" s="78">
        <v>0.35416666666666602</v>
      </c>
      <c r="J41" s="78">
        <v>0.72916666666666663</v>
      </c>
      <c r="K41" s="79">
        <f>IFERROR(VLOOKUP(J41,기준!B:C,2,FALSE),"")-IFERROR(VLOOKUP(I41,기준!D:E,2,FALSE),"")</f>
        <v>0</v>
      </c>
      <c r="L41" s="78">
        <f>IFERROR(VLOOKUP(K41,기준!F:G,2,FALSE),"")</f>
        <v>0.72916666666666663</v>
      </c>
      <c r="M41" s="83">
        <f t="shared" si="1"/>
        <v>0</v>
      </c>
      <c r="N41" s="46" t="s">
        <v>55</v>
      </c>
      <c r="O41" s="78">
        <v>0.72916666666666696</v>
      </c>
      <c r="P41" s="82"/>
      <c r="Q41" s="82">
        <v>0</v>
      </c>
      <c r="R41" s="46" t="s">
        <v>53</v>
      </c>
    </row>
    <row r="42" spans="2:18" x14ac:dyDescent="0.3">
      <c r="B42" s="51">
        <f t="shared" si="0"/>
        <v>36</v>
      </c>
      <c r="C42" s="51" t="s">
        <v>68</v>
      </c>
      <c r="D42" s="51" t="s">
        <v>69</v>
      </c>
      <c r="E42" s="51" t="s">
        <v>57</v>
      </c>
      <c r="F42" s="51" t="s">
        <v>52</v>
      </c>
      <c r="G42" s="78">
        <v>0.72916666666666663</v>
      </c>
      <c r="H42" s="82"/>
      <c r="I42" s="78">
        <v>0.35416666666666602</v>
      </c>
      <c r="J42" s="78">
        <v>0.72916666666666663</v>
      </c>
      <c r="K42" s="79">
        <f>IFERROR(VLOOKUP(J42,기준!B:C,2,FALSE),"")-IFERROR(VLOOKUP(I42,기준!D:E,2,FALSE),"")</f>
        <v>0</v>
      </c>
      <c r="L42" s="78">
        <f>IFERROR(VLOOKUP(K42,기준!F:G,2,FALSE),"")</f>
        <v>0.72916666666666663</v>
      </c>
      <c r="M42" s="83">
        <f t="shared" si="1"/>
        <v>0</v>
      </c>
      <c r="N42" s="46" t="s">
        <v>55</v>
      </c>
      <c r="O42" s="78">
        <v>0.72916666666666696</v>
      </c>
      <c r="P42" s="82"/>
      <c r="Q42" s="82">
        <v>0</v>
      </c>
      <c r="R42" s="46" t="s">
        <v>53</v>
      </c>
    </row>
    <row r="43" spans="2:18" x14ac:dyDescent="0.3">
      <c r="B43" s="51">
        <f t="shared" si="0"/>
        <v>37</v>
      </c>
      <c r="C43" s="51" t="s">
        <v>68</v>
      </c>
      <c r="D43" s="51" t="s">
        <v>69</v>
      </c>
      <c r="E43" s="51" t="s">
        <v>57</v>
      </c>
      <c r="F43" s="51" t="s">
        <v>52</v>
      </c>
      <c r="G43" s="78">
        <v>0.72916666666666663</v>
      </c>
      <c r="H43" s="82"/>
      <c r="I43" s="78">
        <v>0.35416666666666602</v>
      </c>
      <c r="J43" s="78">
        <v>0.72916666666666663</v>
      </c>
      <c r="K43" s="79">
        <f>IFERROR(VLOOKUP(J43,기준!B:C,2,FALSE),"")-IFERROR(VLOOKUP(I43,기준!D:E,2,FALSE),"")</f>
        <v>0</v>
      </c>
      <c r="L43" s="78">
        <f>IFERROR(VLOOKUP(K43,기준!F:G,2,FALSE),"")</f>
        <v>0.72916666666666663</v>
      </c>
      <c r="M43" s="83">
        <f t="shared" si="1"/>
        <v>0</v>
      </c>
      <c r="N43" s="46" t="s">
        <v>55</v>
      </c>
      <c r="O43" s="78">
        <v>0.72916666666666696</v>
      </c>
      <c r="P43" s="82"/>
      <c r="Q43" s="82">
        <v>0</v>
      </c>
      <c r="R43" s="46" t="s">
        <v>53</v>
      </c>
    </row>
  </sheetData>
  <mergeCells count="15">
    <mergeCell ref="B4:B6"/>
    <mergeCell ref="C4:C6"/>
    <mergeCell ref="D4:D6"/>
    <mergeCell ref="E4:E6"/>
    <mergeCell ref="F4:F6"/>
    <mergeCell ref="R5:R6"/>
    <mergeCell ref="O4:Q4"/>
    <mergeCell ref="G5:H5"/>
    <mergeCell ref="I5:K5"/>
    <mergeCell ref="L5:L6"/>
    <mergeCell ref="M5:M6"/>
    <mergeCell ref="N5:N6"/>
    <mergeCell ref="O5:P5"/>
    <mergeCell ref="Q5:Q6"/>
    <mergeCell ref="G4:M4"/>
  </mergeCells>
  <phoneticPr fontId="1" type="noConversion"/>
  <dataValidations count="1">
    <dataValidation type="list" allowBlank="1" showInputMessage="1" showErrorMessage="1" sqref="O7:O43" xr:uid="{F8BB5D4A-54AD-4CA4-88F3-ED7FFFEEA73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D7BC-F30B-46B1-A8D5-ED1F4951118E}">
  <dimension ref="A1:M23"/>
  <sheetViews>
    <sheetView tabSelected="1" zoomScaleNormal="100" workbookViewId="0">
      <selection activeCell="D23" sqref="D23"/>
    </sheetView>
  </sheetViews>
  <sheetFormatPr defaultRowHeight="16.5" x14ac:dyDescent="0.3"/>
  <cols>
    <col min="1" max="1" width="1.375" customWidth="1"/>
    <col min="2" max="2" width="11" bestFit="1" customWidth="1"/>
    <col min="4" max="7" width="11.125" customWidth="1"/>
    <col min="8" max="8" width="11.125" style="1" customWidth="1"/>
    <col min="9" max="11" width="11.125" customWidth="1"/>
    <col min="12" max="12" width="1.375" customWidth="1"/>
  </cols>
  <sheetData>
    <row r="1" spans="1:13" ht="9" customHeight="1" thickBot="1" x14ac:dyDescent="0.35">
      <c r="A1" s="2"/>
      <c r="B1" s="2"/>
      <c r="C1" s="2"/>
      <c r="D1" s="2"/>
      <c r="E1" s="2"/>
      <c r="F1" s="2"/>
      <c r="G1" s="2"/>
      <c r="H1" s="3"/>
      <c r="I1" s="2"/>
      <c r="J1" s="2"/>
      <c r="K1" s="2"/>
      <c r="L1" s="2"/>
    </row>
    <row r="2" spans="1:13" x14ac:dyDescent="0.3">
      <c r="A2" s="2"/>
      <c r="B2" s="108" t="s">
        <v>27</v>
      </c>
      <c r="C2" s="109"/>
      <c r="D2" s="109"/>
      <c r="E2" s="109"/>
      <c r="F2" s="109"/>
      <c r="G2" s="109"/>
      <c r="H2" s="109"/>
      <c r="I2" s="109"/>
      <c r="J2" s="109"/>
      <c r="K2" s="110"/>
      <c r="L2" s="2"/>
    </row>
    <row r="3" spans="1:13" x14ac:dyDescent="0.3">
      <c r="A3" s="2"/>
      <c r="B3" s="13" t="s">
        <v>26</v>
      </c>
      <c r="C3" s="12" t="s">
        <v>25</v>
      </c>
      <c r="D3" s="12" t="s">
        <v>24</v>
      </c>
      <c r="E3" s="12" t="s">
        <v>23</v>
      </c>
      <c r="F3" s="12" t="s">
        <v>22</v>
      </c>
      <c r="G3" s="12" t="s">
        <v>21</v>
      </c>
      <c r="H3" s="12" t="s">
        <v>20</v>
      </c>
      <c r="I3" s="12" t="s">
        <v>19</v>
      </c>
      <c r="J3" s="12" t="s">
        <v>18</v>
      </c>
      <c r="K3" s="16" t="s">
        <v>17</v>
      </c>
      <c r="L3" s="2"/>
    </row>
    <row r="4" spans="1:13" x14ac:dyDescent="0.3">
      <c r="A4" s="2"/>
      <c r="B4" s="111" t="s">
        <v>16</v>
      </c>
      <c r="C4" s="12" t="s">
        <v>15</v>
      </c>
      <c r="D4" s="11"/>
      <c r="E4" s="10"/>
      <c r="F4" s="10"/>
      <c r="G4" s="11"/>
      <c r="H4" s="11"/>
      <c r="I4" s="11"/>
      <c r="J4" s="11"/>
      <c r="K4" s="9">
        <f t="shared" ref="K4:K16" si="0">SUM(D4:J4)</f>
        <v>0</v>
      </c>
      <c r="L4" s="2"/>
      <c r="M4" s="4"/>
    </row>
    <row r="5" spans="1:13" x14ac:dyDescent="0.3">
      <c r="A5" s="2"/>
      <c r="B5" s="112"/>
      <c r="C5" s="12" t="s">
        <v>14</v>
      </c>
      <c r="D5" s="14"/>
      <c r="E5" s="10"/>
      <c r="F5" s="10"/>
      <c r="G5" s="11"/>
      <c r="H5" s="11"/>
      <c r="I5" s="11"/>
      <c r="J5" s="11"/>
      <c r="K5" s="9">
        <f t="shared" si="0"/>
        <v>0</v>
      </c>
      <c r="L5" s="2"/>
      <c r="M5" s="4"/>
    </row>
    <row r="6" spans="1:13" x14ac:dyDescent="0.3">
      <c r="A6" s="2"/>
      <c r="B6" s="112"/>
      <c r="C6" s="12" t="s">
        <v>13</v>
      </c>
      <c r="D6" s="14"/>
      <c r="E6" s="10"/>
      <c r="F6" s="10"/>
      <c r="G6" s="10"/>
      <c r="H6" s="10"/>
      <c r="I6" s="10"/>
      <c r="J6" s="10"/>
      <c r="K6" s="9">
        <f t="shared" si="0"/>
        <v>0</v>
      </c>
      <c r="L6" s="2"/>
      <c r="M6" s="4"/>
    </row>
    <row r="7" spans="1:13" x14ac:dyDescent="0.3">
      <c r="A7" s="2"/>
      <c r="B7" s="112"/>
      <c r="C7" s="12" t="s">
        <v>12</v>
      </c>
      <c r="D7" s="14"/>
      <c r="E7" s="10"/>
      <c r="F7" s="10"/>
      <c r="G7" s="11"/>
      <c r="H7" s="11"/>
      <c r="I7" s="11"/>
      <c r="J7" s="10"/>
      <c r="K7" s="9">
        <f t="shared" si="0"/>
        <v>0</v>
      </c>
      <c r="L7" s="2"/>
      <c r="M7" s="4"/>
    </row>
    <row r="8" spans="1:13" x14ac:dyDescent="0.3">
      <c r="A8" s="2"/>
      <c r="B8" s="112"/>
      <c r="C8" s="12" t="s">
        <v>11</v>
      </c>
      <c r="D8" s="15"/>
      <c r="E8" s="10"/>
      <c r="F8" s="10"/>
      <c r="G8" s="11"/>
      <c r="H8" s="11"/>
      <c r="I8" s="10"/>
      <c r="J8" s="10"/>
      <c r="K8" s="9">
        <f t="shared" si="0"/>
        <v>0</v>
      </c>
      <c r="L8" s="2"/>
      <c r="M8" s="4"/>
    </row>
    <row r="9" spans="1:13" x14ac:dyDescent="0.3">
      <c r="A9" s="2"/>
      <c r="B9" s="112"/>
      <c r="C9" s="12" t="s">
        <v>10</v>
      </c>
      <c r="D9" s="14"/>
      <c r="E9" s="10"/>
      <c r="F9" s="10"/>
      <c r="G9" s="11"/>
      <c r="H9" s="11"/>
      <c r="I9" s="11"/>
      <c r="J9" s="10"/>
      <c r="K9" s="9">
        <f t="shared" si="0"/>
        <v>0</v>
      </c>
      <c r="L9" s="2"/>
      <c r="M9" s="4"/>
    </row>
    <row r="10" spans="1:13" x14ac:dyDescent="0.3">
      <c r="A10" s="2"/>
      <c r="B10" s="112"/>
      <c r="C10" s="12" t="s">
        <v>9</v>
      </c>
      <c r="D10" s="14"/>
      <c r="E10" s="10"/>
      <c r="F10" s="10"/>
      <c r="G10" s="11"/>
      <c r="H10" s="11"/>
      <c r="I10" s="11"/>
      <c r="J10" s="10"/>
      <c r="K10" s="9">
        <f t="shared" si="0"/>
        <v>0</v>
      </c>
      <c r="L10" s="2"/>
      <c r="M10" s="4"/>
    </row>
    <row r="11" spans="1:13" x14ac:dyDescent="0.3">
      <c r="A11" s="2"/>
      <c r="B11" s="112"/>
      <c r="C11" s="12" t="s">
        <v>8</v>
      </c>
      <c r="D11" s="14"/>
      <c r="E11" s="10"/>
      <c r="F11" s="10"/>
      <c r="G11" s="11"/>
      <c r="H11" s="11"/>
      <c r="I11" s="11"/>
      <c r="J11" s="10"/>
      <c r="K11" s="9">
        <f t="shared" si="0"/>
        <v>0</v>
      </c>
      <c r="L11" s="2"/>
      <c r="M11" s="4"/>
    </row>
    <row r="12" spans="1:13" x14ac:dyDescent="0.3">
      <c r="A12" s="2"/>
      <c r="B12" s="113"/>
      <c r="C12" s="12" t="s">
        <v>7</v>
      </c>
      <c r="D12" s="11"/>
      <c r="E12" s="10"/>
      <c r="F12" s="10"/>
      <c r="G12" s="11"/>
      <c r="H12" s="11"/>
      <c r="I12" s="11"/>
      <c r="J12" s="10"/>
      <c r="K12" s="9">
        <f t="shared" si="0"/>
        <v>0</v>
      </c>
      <c r="L12" s="2"/>
      <c r="M12" s="4"/>
    </row>
    <row r="13" spans="1:13" x14ac:dyDescent="0.3">
      <c r="A13" s="2"/>
      <c r="B13" s="114" t="s">
        <v>6</v>
      </c>
      <c r="C13" s="12" t="s">
        <v>5</v>
      </c>
      <c r="D13" s="11"/>
      <c r="E13" s="10"/>
      <c r="F13" s="10"/>
      <c r="G13" s="10"/>
      <c r="H13" s="10"/>
      <c r="I13" s="11"/>
      <c r="J13" s="10"/>
      <c r="K13" s="9">
        <f t="shared" si="0"/>
        <v>0</v>
      </c>
      <c r="L13" s="2"/>
      <c r="M13" s="4"/>
    </row>
    <row r="14" spans="1:13" x14ac:dyDescent="0.3">
      <c r="A14" s="2"/>
      <c r="B14" s="114"/>
      <c r="C14" s="12" t="s">
        <v>4</v>
      </c>
      <c r="D14" s="11"/>
      <c r="E14" s="10"/>
      <c r="F14" s="10"/>
      <c r="G14" s="10"/>
      <c r="H14" s="10"/>
      <c r="I14" s="10"/>
      <c r="J14" s="10"/>
      <c r="K14" s="9">
        <f t="shared" si="0"/>
        <v>0</v>
      </c>
      <c r="L14" s="2"/>
      <c r="M14" s="4"/>
    </row>
    <row r="15" spans="1:13" x14ac:dyDescent="0.3">
      <c r="A15" s="2"/>
      <c r="B15" s="114" t="s">
        <v>3</v>
      </c>
      <c r="C15" s="12" t="s">
        <v>2</v>
      </c>
      <c r="D15" s="10"/>
      <c r="E15" s="10"/>
      <c r="F15" s="10"/>
      <c r="G15" s="10"/>
      <c r="H15" s="11"/>
      <c r="I15" s="10"/>
      <c r="J15" s="10"/>
      <c r="K15" s="9">
        <f t="shared" si="0"/>
        <v>0</v>
      </c>
      <c r="L15" s="2"/>
      <c r="M15" s="4"/>
    </row>
    <row r="16" spans="1:13" ht="17.25" thickBot="1" x14ac:dyDescent="0.35">
      <c r="A16" s="2"/>
      <c r="B16" s="115"/>
      <c r="C16" s="8" t="s">
        <v>1</v>
      </c>
      <c r="D16" s="7"/>
      <c r="E16" s="7"/>
      <c r="F16" s="7"/>
      <c r="G16" s="7"/>
      <c r="H16" s="6"/>
      <c r="I16" s="7"/>
      <c r="J16" s="6"/>
      <c r="K16" s="5">
        <f t="shared" si="0"/>
        <v>0</v>
      </c>
      <c r="L16" s="2"/>
      <c r="M16" s="4"/>
    </row>
    <row r="17" spans="1:12" x14ac:dyDescent="0.3">
      <c r="A17" s="2"/>
      <c r="B17" s="2"/>
      <c r="C17" s="2"/>
      <c r="D17" s="2"/>
      <c r="E17" s="2"/>
      <c r="F17" s="2"/>
      <c r="G17" s="2"/>
      <c r="H17" s="3"/>
      <c r="I17" s="2"/>
      <c r="J17" s="2"/>
      <c r="K17" s="2"/>
      <c r="L17" s="2"/>
    </row>
    <row r="23" spans="1:12" x14ac:dyDescent="0.3">
      <c r="I23" t="s">
        <v>0</v>
      </c>
    </row>
  </sheetData>
  <mergeCells count="4">
    <mergeCell ref="B2:K2"/>
    <mergeCell ref="B4:B12"/>
    <mergeCell ref="B13:B14"/>
    <mergeCell ref="B15:B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기준</vt:lpstr>
      <vt:lpstr>공휴일</vt:lpstr>
      <vt:lpstr>토요일</vt:lpstr>
      <vt:lpstr>일요일</vt:lpstr>
      <vt:lpstr>월요일</vt:lpstr>
      <vt:lpstr>평일</vt:lpstr>
      <vt:lpstr>주 연장근무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김남훈</dc:creator>
  <cp:lastModifiedBy>김남훈</cp:lastModifiedBy>
  <dcterms:created xsi:type="dcterms:W3CDTF">2026-03-18T03:00:42Z</dcterms:created>
  <dcterms:modified xsi:type="dcterms:W3CDTF">2026-03-25T04:05:14Z</dcterms:modified>
</cp:coreProperties>
</file>