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김남훈\Desktop\site\"/>
    </mc:Choice>
  </mc:AlternateContent>
  <xr:revisionPtr revIDLastSave="0" documentId="13_ncr:1_{87A8C430-C9CF-4232-A4B3-BC610A57D0DA}" xr6:coauthVersionLast="47" xr6:coauthVersionMax="47" xr10:uidLastSave="{00000000-0000-0000-0000-000000000000}"/>
  <bookViews>
    <workbookView xWindow="-28920" yWindow="-120" windowWidth="29040" windowHeight="15720" xr2:uid="{7E82BFD2-9AED-4833-B309-E05E41D5A9F7}"/>
  </bookViews>
  <sheets>
    <sheet name="일일근태" sheetId="2" r:id="rId1"/>
  </sheets>
  <definedNames>
    <definedName name="참고" localSheetId="0">#REF!</definedName>
    <definedName name="참고">#REF!</definedName>
    <definedName name="참고2">#REF!</definedName>
    <definedName name="참조" localSheetId="0">#REF!</definedName>
    <definedName name="참조">#REF!</definedName>
    <definedName name="참조10">#REF!</definedName>
    <definedName name="참조2">#REF!</definedName>
    <definedName name="참조3">#REF!</definedName>
    <definedName name="참조4">#REF!</definedName>
    <definedName name="참코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 a="1"/>
  <c r="B7" i="2" s="1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B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<sst xmlns="http://schemas.openxmlformats.org/spreadsheetml/2006/main" count="171" uniqueCount="77">
  <si>
    <t>이름</t>
    <phoneticPr fontId="3" type="noConversion"/>
  </si>
  <si>
    <t>합계</t>
    <phoneticPr fontId="3" type="noConversion"/>
  </si>
  <si>
    <t>박태준</t>
    <phoneticPr fontId="1" type="noConversion"/>
  </si>
  <si>
    <t>이형석</t>
    <phoneticPr fontId="1" type="noConversion"/>
  </si>
  <si>
    <t>김준영</t>
    <phoneticPr fontId="1" type="noConversion"/>
  </si>
  <si>
    <t>성민혁</t>
    <phoneticPr fontId="1" type="noConversion"/>
  </si>
  <si>
    <t>김남훈</t>
    <phoneticPr fontId="1" type="noConversion"/>
  </si>
  <si>
    <t>이종훈</t>
    <phoneticPr fontId="1" type="noConversion"/>
  </si>
  <si>
    <t>제어P</t>
    <phoneticPr fontId="1" type="noConversion"/>
  </si>
  <si>
    <t>김동련</t>
    <phoneticPr fontId="1" type="noConversion"/>
  </si>
  <si>
    <t>심효정</t>
    <phoneticPr fontId="1" type="noConversion"/>
  </si>
  <si>
    <t>일일근태 확인_AF사업부</t>
    <phoneticPr fontId="3" type="noConversion"/>
  </si>
  <si>
    <t>NO.</t>
    <phoneticPr fontId="1" type="noConversion"/>
  </si>
  <si>
    <t>사업부</t>
    <phoneticPr fontId="3" type="noConversion"/>
  </si>
  <si>
    <t>부서</t>
    <phoneticPr fontId="3" type="noConversion"/>
  </si>
  <si>
    <t>직위</t>
    <phoneticPr fontId="3" type="noConversion"/>
  </si>
  <si>
    <t>형태</t>
    <phoneticPr fontId="3" type="noConversion"/>
  </si>
  <si>
    <t>결근</t>
    <phoneticPr fontId="3" type="noConversion"/>
  </si>
  <si>
    <t>미출</t>
    <phoneticPr fontId="3" type="noConversion"/>
  </si>
  <si>
    <t>지각</t>
    <phoneticPr fontId="3" type="noConversion"/>
  </si>
  <si>
    <t>조퇴</t>
    <phoneticPr fontId="3" type="noConversion"/>
  </si>
  <si>
    <t>외근</t>
    <phoneticPr fontId="3" type="noConversion"/>
  </si>
  <si>
    <t>직출</t>
    <phoneticPr fontId="3" type="noConversion"/>
  </si>
  <si>
    <t>국내
출장</t>
    <phoneticPr fontId="3" type="noConversion"/>
  </si>
  <si>
    <t>해외
출장</t>
    <phoneticPr fontId="3" type="noConversion"/>
  </si>
  <si>
    <t>자가  격리</t>
    <phoneticPr fontId="1" type="noConversion"/>
  </si>
  <si>
    <t>교육
연수</t>
    <phoneticPr fontId="3" type="noConversion"/>
  </si>
  <si>
    <t>야간
근무</t>
    <phoneticPr fontId="3" type="noConversion"/>
  </si>
  <si>
    <t>연차</t>
    <phoneticPr fontId="3" type="noConversion"/>
  </si>
  <si>
    <t>오전
반차</t>
    <phoneticPr fontId="3" type="noConversion"/>
  </si>
  <si>
    <t>오후
반차</t>
    <phoneticPr fontId="3" type="noConversion"/>
  </si>
  <si>
    <t>경조
휴가</t>
    <phoneticPr fontId="3" type="noConversion"/>
  </si>
  <si>
    <t>장기
휴가</t>
    <phoneticPr fontId="3" type="noConversion"/>
  </si>
  <si>
    <t>일반
휴직</t>
    <phoneticPr fontId="3" type="noConversion"/>
  </si>
  <si>
    <t>출산
휴직</t>
    <phoneticPr fontId="3" type="noConversion"/>
  </si>
  <si>
    <t>육아
휴직</t>
    <phoneticPr fontId="3" type="noConversion"/>
  </si>
  <si>
    <t>병가
휴직</t>
    <phoneticPr fontId="3" type="noConversion"/>
  </si>
  <si>
    <t>팀</t>
    <phoneticPr fontId="3" type="noConversion"/>
  </si>
  <si>
    <t>Part</t>
    <phoneticPr fontId="3" type="noConversion"/>
  </si>
  <si>
    <t>MPAS</t>
    <phoneticPr fontId="3" type="noConversion"/>
  </si>
  <si>
    <t>실제</t>
    <phoneticPr fontId="3" type="noConversion"/>
  </si>
  <si>
    <t>AF</t>
  </si>
  <si>
    <t>제조</t>
    <phoneticPr fontId="1" type="noConversion"/>
  </si>
  <si>
    <t>박규섭</t>
  </si>
  <si>
    <t>상무</t>
    <phoneticPr fontId="1" type="noConversion"/>
  </si>
  <si>
    <t>정규</t>
  </si>
  <si>
    <t>개발팀</t>
  </si>
  <si>
    <t>제품개발P</t>
  </si>
  <si>
    <t>정재희</t>
  </si>
  <si>
    <t>이사</t>
    <phoneticPr fontId="1" type="noConversion"/>
  </si>
  <si>
    <t>개발1팀</t>
    <phoneticPr fontId="1" type="noConversion"/>
  </si>
  <si>
    <t>임형준</t>
    <phoneticPr fontId="1" type="noConversion"/>
  </si>
  <si>
    <t>팀장</t>
    <phoneticPr fontId="3" type="noConversion"/>
  </si>
  <si>
    <t>개발3팀</t>
    <phoneticPr fontId="1" type="noConversion"/>
  </si>
  <si>
    <t>선행개발P</t>
    <phoneticPr fontId="3" type="noConversion"/>
  </si>
  <si>
    <t>강한울</t>
    <phoneticPr fontId="1" type="noConversion"/>
  </si>
  <si>
    <t>파트장</t>
    <phoneticPr fontId="3" type="noConversion"/>
  </si>
  <si>
    <t>김연호</t>
  </si>
  <si>
    <t>개발2팀</t>
    <phoneticPr fontId="1" type="noConversion"/>
  </si>
  <si>
    <t>박정환</t>
    <phoneticPr fontId="1" type="noConversion"/>
  </si>
  <si>
    <t>팀원</t>
    <phoneticPr fontId="3" type="noConversion"/>
  </si>
  <si>
    <t>박정찬</t>
  </si>
  <si>
    <t>팀원</t>
  </si>
  <si>
    <t>제품개발P</t>
    <phoneticPr fontId="1" type="noConversion"/>
  </si>
  <si>
    <t>AF</t>
    <phoneticPr fontId="1" type="noConversion"/>
  </si>
  <si>
    <t>팀원</t>
    <phoneticPr fontId="1" type="noConversion"/>
  </si>
  <si>
    <t>정규</t>
    <phoneticPr fontId="1" type="noConversion"/>
  </si>
  <si>
    <t>제어파트</t>
    <phoneticPr fontId="1" type="noConversion"/>
  </si>
  <si>
    <t>장정금</t>
  </si>
  <si>
    <t>도급직</t>
  </si>
  <si>
    <t>손수민</t>
  </si>
  <si>
    <t>안민아</t>
  </si>
  <si>
    <t>김선우</t>
    <phoneticPr fontId="1" type="noConversion"/>
  </si>
  <si>
    <t>이주현</t>
    <phoneticPr fontId="1" type="noConversion"/>
  </si>
  <si>
    <t>박은자</t>
    <phoneticPr fontId="1" type="noConversion"/>
  </si>
  <si>
    <t>고정윤</t>
    <phoneticPr fontId="1" type="noConversion"/>
  </si>
  <si>
    <t>민미정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</si>
</sst>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yyyy/mm/dd\(aaa\)"/>
    <numFmt numFmtId="178" formatCode="0_);[Red]\(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1"/>
      <color rgb="FFFF0000"/>
      <name val="맑은 고딕"/>
      <family val="3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Malgun Gothic Semilight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2" fillId="0" borderId="0" xfId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177" fontId="9" fillId="0" borderId="0" xfId="1" applyNumberFormat="1" applyFont="1" applyAlignment="1">
      <alignment horizontal="left" vertical="center"/>
    </xf>
    <xf numFmtId="0" fontId="10" fillId="2" borderId="9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2" fillId="0" borderId="0" xfId="1" applyFont="1">
      <alignment vertical="center"/>
    </xf>
    <xf numFmtId="178" fontId="13" fillId="3" borderId="1" xfId="1" applyNumberFormat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41" fontId="13" fillId="3" borderId="16" xfId="2" applyFont="1" applyFill="1" applyBorder="1" applyAlignment="1">
      <alignment horizontal="center" vertical="center"/>
    </xf>
    <xf numFmtId="41" fontId="13" fillId="3" borderId="3" xfId="2" applyFont="1" applyFill="1" applyBorder="1" applyAlignment="1">
      <alignment horizontal="center" vertical="center"/>
    </xf>
    <xf numFmtId="41" fontId="13" fillId="3" borderId="4" xfId="2" applyFont="1" applyFill="1" applyBorder="1" applyAlignment="1">
      <alignment horizontal="center" vertical="center"/>
    </xf>
    <xf numFmtId="0" fontId="6" fillId="0" borderId="0" xfId="1" applyFont="1">
      <alignment vertical="center"/>
    </xf>
    <xf numFmtId="0" fontId="14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</cellXfs>
  <cellStyles count="3">
    <cellStyle name="쉼표 [0] 2" xfId="2" xr:uid="{CC6D82C8-34E9-4DC9-9B47-FAA06A42EDAF}"/>
    <cellStyle name="표준" xfId="0" builtinId="0"/>
    <cellStyle name="표준 2 3" xfId="1" xr:uid="{398D917B-529A-4902-ADD3-A4B7A0B20A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A6E7-28B7-4C4D-9DCB-C354BA86DDCE}">
  <dimension ref="A1:AC91"/>
  <sheetViews>
    <sheetView showGridLines="0" tabSelected="1" workbookViewId="0">
      <selection activeCell="R18" sqref="R18"/>
    </sheetView>
  </sheetViews>
  <sheetFormatPr defaultRowHeight="16.5"/>
  <cols>
    <col min="1" max="1" width="1.625" customWidth="1"/>
    <col min="2" max="2" width="15.875" bestFit="1" customWidth="1"/>
    <col min="18" max="18" width="10.5" bestFit="1" customWidth="1"/>
  </cols>
  <sheetData>
    <row r="1" spans="1:29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3"/>
      <c r="B2" s="4" t="s">
        <v>11</v>
      </c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7.25" thickBot="1">
      <c r="A3" s="1"/>
      <c r="B3" s="6">
        <v>46098</v>
      </c>
      <c r="C3" s="6"/>
      <c r="D3" s="6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.5" customHeight="1">
      <c r="A4" s="3"/>
      <c r="B4" s="35" t="s">
        <v>12</v>
      </c>
      <c r="C4" s="33" t="s">
        <v>13</v>
      </c>
      <c r="D4" s="37" t="s">
        <v>14</v>
      </c>
      <c r="E4" s="38"/>
      <c r="F4" s="33" t="s">
        <v>0</v>
      </c>
      <c r="G4" s="33" t="s">
        <v>15</v>
      </c>
      <c r="H4" s="33" t="s">
        <v>16</v>
      </c>
      <c r="I4" s="33" t="s">
        <v>17</v>
      </c>
      <c r="J4" s="33" t="s">
        <v>18</v>
      </c>
      <c r="K4" s="7" t="s">
        <v>19</v>
      </c>
      <c r="L4" s="7" t="s">
        <v>19</v>
      </c>
      <c r="M4" s="33" t="s">
        <v>20</v>
      </c>
      <c r="N4" s="33" t="s">
        <v>21</v>
      </c>
      <c r="O4" s="33" t="s">
        <v>22</v>
      </c>
      <c r="P4" s="39" t="s">
        <v>23</v>
      </c>
      <c r="Q4" s="39" t="s">
        <v>24</v>
      </c>
      <c r="R4" s="40" t="s">
        <v>25</v>
      </c>
      <c r="S4" s="39" t="s">
        <v>26</v>
      </c>
      <c r="T4" s="39" t="s">
        <v>27</v>
      </c>
      <c r="U4" s="33" t="s">
        <v>28</v>
      </c>
      <c r="V4" s="39" t="s">
        <v>29</v>
      </c>
      <c r="W4" s="39" t="s">
        <v>30</v>
      </c>
      <c r="X4" s="39" t="s">
        <v>31</v>
      </c>
      <c r="Y4" s="44" t="s">
        <v>32</v>
      </c>
      <c r="Z4" s="39" t="s">
        <v>33</v>
      </c>
      <c r="AA4" s="39" t="s">
        <v>34</v>
      </c>
      <c r="AB4" s="39" t="s">
        <v>35</v>
      </c>
      <c r="AC4" s="42" t="s">
        <v>36</v>
      </c>
    </row>
    <row r="5" spans="1:29">
      <c r="A5" s="3"/>
      <c r="B5" s="36"/>
      <c r="C5" s="34"/>
      <c r="D5" s="8" t="s">
        <v>37</v>
      </c>
      <c r="E5" s="8" t="s">
        <v>38</v>
      </c>
      <c r="F5" s="34"/>
      <c r="G5" s="34"/>
      <c r="H5" s="34"/>
      <c r="I5" s="34"/>
      <c r="J5" s="34"/>
      <c r="K5" s="8" t="s">
        <v>39</v>
      </c>
      <c r="L5" s="8" t="s">
        <v>40</v>
      </c>
      <c r="M5" s="34"/>
      <c r="N5" s="34"/>
      <c r="O5" s="34"/>
      <c r="P5" s="34"/>
      <c r="Q5" s="34"/>
      <c r="R5" s="41"/>
      <c r="S5" s="34"/>
      <c r="T5" s="34"/>
      <c r="U5" s="34"/>
      <c r="V5" s="34"/>
      <c r="W5" s="34"/>
      <c r="X5" s="34"/>
      <c r="Y5" s="34"/>
      <c r="Z5" s="34"/>
      <c r="AA5" s="34"/>
      <c r="AB5" s="34"/>
      <c r="AC5" s="43"/>
    </row>
    <row r="6" spans="1:29" ht="17.25" thickBot="1">
      <c r="A6" s="9"/>
      <c r="B6" s="10">
        <f>SUM(I6:AC6)</f>
        <v>0</v>
      </c>
      <c r="C6" s="11" t="s">
        <v>1</v>
      </c>
      <c r="D6" s="11"/>
      <c r="E6" s="11"/>
      <c r="F6" s="11"/>
      <c r="G6" s="11"/>
      <c r="H6" s="11"/>
      <c r="I6" s="12">
        <f t="shared" ref="I6:AC6" si="0">+COUNTIF(I7:I26,"O")</f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0</v>
      </c>
      <c r="X6" s="13">
        <f t="shared" si="0"/>
        <v>0</v>
      </c>
      <c r="Y6" s="13">
        <f t="shared" si="0"/>
        <v>0</v>
      </c>
      <c r="Z6" s="13">
        <f t="shared" si="0"/>
        <v>0</v>
      </c>
      <c r="AA6" s="13">
        <f t="shared" si="0"/>
        <v>0</v>
      </c>
      <c r="AB6" s="13">
        <f t="shared" si="0"/>
        <v>0</v>
      </c>
      <c r="AC6" s="14">
        <f t="shared" si="0"/>
        <v>0</v>
      </c>
    </row>
    <row r="7" spans="1:29">
      <c r="A7" s="15"/>
      <c r="B7" s="16" cm="1">
        <f t="array" ref="B7:B91">IF(C7:C91&lt;&gt;"",ROW(C7:C91)-6,"")</f>
        <v>1</v>
      </c>
      <c r="C7" s="19" t="s">
        <v>41</v>
      </c>
      <c r="D7" s="19" t="s">
        <v>42</v>
      </c>
      <c r="E7" s="19" t="s">
        <v>42</v>
      </c>
      <c r="F7" s="19" t="s">
        <v>43</v>
      </c>
      <c r="G7" s="19" t="s">
        <v>44</v>
      </c>
      <c r="H7" s="19" t="s">
        <v>45</v>
      </c>
      <c r="I7" s="19"/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2"/>
    </row>
    <row r="8" spans="1:29">
      <c r="A8" s="15"/>
      <c r="B8" s="17">
        <v>2</v>
      </c>
      <c r="C8" s="23" t="s">
        <v>41</v>
      </c>
      <c r="D8" s="23" t="s">
        <v>46</v>
      </c>
      <c r="E8" s="24" t="s">
        <v>47</v>
      </c>
      <c r="F8" s="23" t="s">
        <v>48</v>
      </c>
      <c r="G8" s="23" t="s">
        <v>49</v>
      </c>
      <c r="H8" s="23" t="s">
        <v>45</v>
      </c>
      <c r="I8" s="23"/>
      <c r="J8" s="2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6"/>
    </row>
    <row r="9" spans="1:29">
      <c r="A9" s="15"/>
      <c r="B9" s="17">
        <v>3</v>
      </c>
      <c r="C9" s="23" t="s">
        <v>41</v>
      </c>
      <c r="D9" s="24" t="s">
        <v>50</v>
      </c>
      <c r="E9" s="24" t="s">
        <v>47</v>
      </c>
      <c r="F9" s="23" t="s">
        <v>51</v>
      </c>
      <c r="G9" s="27" t="s">
        <v>52</v>
      </c>
      <c r="H9" s="23" t="s">
        <v>45</v>
      </c>
      <c r="I9" s="23"/>
      <c r="J9" s="2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6"/>
    </row>
    <row r="10" spans="1:29">
      <c r="A10" s="15"/>
      <c r="B10" s="17">
        <v>4</v>
      </c>
      <c r="C10" s="23" t="s">
        <v>41</v>
      </c>
      <c r="D10" s="24" t="s">
        <v>53</v>
      </c>
      <c r="E10" s="24" t="s">
        <v>54</v>
      </c>
      <c r="F10" s="23" t="s">
        <v>55</v>
      </c>
      <c r="G10" s="27" t="s">
        <v>56</v>
      </c>
      <c r="H10" s="23" t="s">
        <v>45</v>
      </c>
      <c r="I10" s="23"/>
      <c r="J10" s="25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6"/>
    </row>
    <row r="11" spans="1:29">
      <c r="A11" s="15"/>
      <c r="B11" s="17">
        <v>5</v>
      </c>
      <c r="C11" s="23" t="s">
        <v>41</v>
      </c>
      <c r="D11" s="24" t="s">
        <v>50</v>
      </c>
      <c r="E11" s="24" t="s">
        <v>54</v>
      </c>
      <c r="F11" s="23" t="s">
        <v>57</v>
      </c>
      <c r="G11" s="27" t="s">
        <v>56</v>
      </c>
      <c r="H11" s="23" t="s">
        <v>45</v>
      </c>
      <c r="I11" s="23"/>
      <c r="J11" s="25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6"/>
    </row>
    <row r="12" spans="1:29">
      <c r="A12" s="15"/>
      <c r="B12" s="17">
        <v>6</v>
      </c>
      <c r="C12" s="23" t="s">
        <v>41</v>
      </c>
      <c r="D12" s="24" t="s">
        <v>58</v>
      </c>
      <c r="E12" s="24" t="s">
        <v>47</v>
      </c>
      <c r="F12" s="23" t="s">
        <v>59</v>
      </c>
      <c r="G12" s="24" t="s">
        <v>60</v>
      </c>
      <c r="H12" s="23" t="s">
        <v>45</v>
      </c>
      <c r="I12" s="23"/>
      <c r="J12" s="25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6"/>
    </row>
    <row r="13" spans="1:29">
      <c r="A13" s="15"/>
      <c r="B13" s="17">
        <v>7</v>
      </c>
      <c r="C13" s="23" t="s">
        <v>41</v>
      </c>
      <c r="D13" s="24" t="s">
        <v>50</v>
      </c>
      <c r="E13" s="24" t="s">
        <v>47</v>
      </c>
      <c r="F13" s="23" t="s">
        <v>61</v>
      </c>
      <c r="G13" s="24" t="s">
        <v>62</v>
      </c>
      <c r="H13" s="23" t="s">
        <v>45</v>
      </c>
      <c r="I13" s="23"/>
      <c r="J13" s="25"/>
      <c r="K13" s="23"/>
      <c r="L13" s="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6"/>
    </row>
    <row r="14" spans="1:29">
      <c r="A14" s="15"/>
      <c r="B14" s="17">
        <v>8</v>
      </c>
      <c r="C14" s="23" t="s">
        <v>41</v>
      </c>
      <c r="D14" s="24" t="s">
        <v>50</v>
      </c>
      <c r="E14" s="24" t="s">
        <v>47</v>
      </c>
      <c r="F14" s="23" t="s">
        <v>2</v>
      </c>
      <c r="G14" s="24" t="s">
        <v>62</v>
      </c>
      <c r="H14" s="23" t="s">
        <v>45</v>
      </c>
      <c r="I14" s="23"/>
      <c r="J14" s="25"/>
      <c r="K14" s="23"/>
      <c r="L14" s="2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6"/>
    </row>
    <row r="15" spans="1:29">
      <c r="A15" s="15"/>
      <c r="B15" s="17">
        <v>9</v>
      </c>
      <c r="C15" s="23" t="s">
        <v>41</v>
      </c>
      <c r="D15" s="24" t="s">
        <v>50</v>
      </c>
      <c r="E15" s="24" t="s">
        <v>47</v>
      </c>
      <c r="F15" s="23" t="s">
        <v>3</v>
      </c>
      <c r="G15" s="24" t="s">
        <v>62</v>
      </c>
      <c r="H15" s="23" t="s">
        <v>45</v>
      </c>
      <c r="I15" s="23"/>
      <c r="J15" s="25"/>
      <c r="K15" s="23"/>
      <c r="L15" s="2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6"/>
    </row>
    <row r="16" spans="1:29">
      <c r="A16" s="15"/>
      <c r="B16" s="17">
        <v>10</v>
      </c>
      <c r="C16" s="23" t="s">
        <v>41</v>
      </c>
      <c r="D16" s="24" t="s">
        <v>50</v>
      </c>
      <c r="E16" s="24" t="s">
        <v>63</v>
      </c>
      <c r="F16" s="23" t="s">
        <v>4</v>
      </c>
      <c r="G16" s="24" t="s">
        <v>62</v>
      </c>
      <c r="H16" s="23" t="s">
        <v>45</v>
      </c>
      <c r="I16" s="23"/>
      <c r="J16" s="2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6"/>
    </row>
    <row r="17" spans="1:29">
      <c r="A17" s="15"/>
      <c r="B17" s="17">
        <v>11</v>
      </c>
      <c r="C17" s="23" t="s">
        <v>41</v>
      </c>
      <c r="D17" s="24" t="s">
        <v>50</v>
      </c>
      <c r="E17" s="24" t="s">
        <v>63</v>
      </c>
      <c r="F17" s="23" t="s">
        <v>5</v>
      </c>
      <c r="G17" s="24" t="s">
        <v>62</v>
      </c>
      <c r="H17" s="23" t="s">
        <v>45</v>
      </c>
      <c r="I17" s="23"/>
      <c r="J17" s="2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Y17" s="23"/>
      <c r="Z17" s="23"/>
      <c r="AA17" s="23"/>
      <c r="AB17" s="23"/>
      <c r="AC17" s="26"/>
    </row>
    <row r="18" spans="1:29" ht="15" customHeight="1">
      <c r="A18" s="15"/>
      <c r="B18" s="17">
        <v>12</v>
      </c>
      <c r="C18" s="23" t="s">
        <v>64</v>
      </c>
      <c r="D18" s="24" t="s">
        <v>50</v>
      </c>
      <c r="E18" s="24" t="s">
        <v>63</v>
      </c>
      <c r="F18" s="23" t="s">
        <v>6</v>
      </c>
      <c r="G18" s="24" t="s">
        <v>65</v>
      </c>
      <c r="H18" s="23" t="s">
        <v>66</v>
      </c>
      <c r="I18" s="23"/>
      <c r="J18" s="2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6"/>
    </row>
    <row r="19" spans="1:29" ht="15" customHeight="1">
      <c r="A19" s="15"/>
      <c r="B19" s="17">
        <v>13</v>
      </c>
      <c r="C19" s="23" t="s">
        <v>64</v>
      </c>
      <c r="D19" s="24" t="s">
        <v>58</v>
      </c>
      <c r="E19" s="24" t="s">
        <v>63</v>
      </c>
      <c r="F19" s="23" t="s">
        <v>7</v>
      </c>
      <c r="G19" s="24" t="s">
        <v>65</v>
      </c>
      <c r="H19" s="23" t="s">
        <v>66</v>
      </c>
      <c r="I19" s="23"/>
      <c r="J19" s="2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6"/>
    </row>
    <row r="20" spans="1:29">
      <c r="A20" s="15"/>
      <c r="B20" s="17">
        <v>14</v>
      </c>
      <c r="C20" s="23" t="s">
        <v>41</v>
      </c>
      <c r="D20" s="24" t="s">
        <v>67</v>
      </c>
      <c r="E20" s="24" t="s">
        <v>8</v>
      </c>
      <c r="F20" s="23" t="s">
        <v>9</v>
      </c>
      <c r="G20" s="24" t="s">
        <v>62</v>
      </c>
      <c r="H20" s="23" t="s">
        <v>66</v>
      </c>
      <c r="I20" s="23"/>
      <c r="J20" s="2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6"/>
    </row>
    <row r="21" spans="1:29">
      <c r="A21" s="15"/>
      <c r="B21" s="17">
        <v>15</v>
      </c>
      <c r="C21" s="23" t="s">
        <v>41</v>
      </c>
      <c r="D21" s="24" t="s">
        <v>67</v>
      </c>
      <c r="E21" s="24" t="s">
        <v>8</v>
      </c>
      <c r="F21" s="23" t="s">
        <v>10</v>
      </c>
      <c r="G21" s="24" t="s">
        <v>62</v>
      </c>
      <c r="H21" s="23" t="s">
        <v>66</v>
      </c>
      <c r="I21" s="23"/>
      <c r="J21" s="2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6"/>
    </row>
    <row r="22" spans="1:29">
      <c r="A22" s="15"/>
      <c r="B22" s="17">
        <v>16</v>
      </c>
      <c r="C22" s="23" t="s">
        <v>41</v>
      </c>
      <c r="D22" s="24" t="s">
        <v>46</v>
      </c>
      <c r="E22" s="24" t="s">
        <v>47</v>
      </c>
      <c r="F22" s="23" t="s">
        <v>68</v>
      </c>
      <c r="G22" s="24" t="s">
        <v>62</v>
      </c>
      <c r="H22" s="23" t="s">
        <v>69</v>
      </c>
      <c r="I22" s="23"/>
      <c r="J22" s="2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6"/>
    </row>
    <row r="23" spans="1:29">
      <c r="A23" s="15"/>
      <c r="B23" s="17">
        <v>17</v>
      </c>
      <c r="C23" s="23" t="s">
        <v>41</v>
      </c>
      <c r="D23" s="23" t="s">
        <v>46</v>
      </c>
      <c r="E23" s="23" t="s">
        <v>47</v>
      </c>
      <c r="F23" s="23" t="s">
        <v>70</v>
      </c>
      <c r="G23" s="24" t="s">
        <v>62</v>
      </c>
      <c r="H23" s="23" t="s">
        <v>69</v>
      </c>
      <c r="I23" s="23"/>
      <c r="J23" s="25"/>
      <c r="K23" s="23"/>
      <c r="L23" s="23"/>
      <c r="M23" s="23"/>
      <c r="N23" s="23"/>
      <c r="O23" s="23"/>
      <c r="P23" s="23"/>
      <c r="Q23" s="23"/>
      <c r="R23" s="23"/>
      <c r="T23" s="23"/>
      <c r="U23" s="23"/>
      <c r="V23" s="23"/>
      <c r="W23" s="23"/>
      <c r="X23" s="23"/>
      <c r="Y23" s="23"/>
      <c r="Z23" s="23"/>
      <c r="AA23" s="23"/>
      <c r="AB23" s="23"/>
      <c r="AC23" s="26"/>
    </row>
    <row r="24" spans="1:29">
      <c r="A24" s="15"/>
      <c r="B24" s="17">
        <v>18</v>
      </c>
      <c r="C24" s="23" t="s">
        <v>41</v>
      </c>
      <c r="D24" s="23" t="s">
        <v>46</v>
      </c>
      <c r="E24" s="23" t="s">
        <v>47</v>
      </c>
      <c r="F24" s="23" t="s">
        <v>71</v>
      </c>
      <c r="G24" s="24" t="s">
        <v>62</v>
      </c>
      <c r="H24" s="23" t="s">
        <v>69</v>
      </c>
      <c r="I24" s="23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6"/>
    </row>
    <row r="25" spans="1:29">
      <c r="A25" s="15"/>
      <c r="B25" s="17">
        <v>19</v>
      </c>
      <c r="C25" s="23" t="s">
        <v>41</v>
      </c>
      <c r="D25" s="23" t="s">
        <v>46</v>
      </c>
      <c r="E25" s="23" t="s">
        <v>47</v>
      </c>
      <c r="F25" s="23" t="s">
        <v>72</v>
      </c>
      <c r="G25" s="24" t="s">
        <v>62</v>
      </c>
      <c r="H25" s="23" t="s">
        <v>69</v>
      </c>
      <c r="I25" s="23"/>
      <c r="J25" s="2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6"/>
    </row>
    <row r="26" spans="1:29">
      <c r="A26" s="15"/>
      <c r="B26" s="17">
        <v>20</v>
      </c>
      <c r="C26" s="23" t="s">
        <v>41</v>
      </c>
      <c r="D26" s="23" t="s">
        <v>46</v>
      </c>
      <c r="E26" s="23" t="s">
        <v>47</v>
      </c>
      <c r="F26" s="23" t="s">
        <v>73</v>
      </c>
      <c r="G26" s="24" t="s">
        <v>62</v>
      </c>
      <c r="H26" s="23" t="s">
        <v>69</v>
      </c>
      <c r="I26" s="23"/>
      <c r="J26" s="2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6"/>
    </row>
    <row r="27" spans="1:29">
      <c r="A27" s="15"/>
      <c r="B27" s="17">
        <v>21</v>
      </c>
      <c r="C27" s="23" t="s">
        <v>41</v>
      </c>
      <c r="D27" s="23" t="s">
        <v>46</v>
      </c>
      <c r="E27" s="23" t="s">
        <v>47</v>
      </c>
      <c r="F27" s="23" t="s">
        <v>74</v>
      </c>
      <c r="G27" s="24" t="s">
        <v>62</v>
      </c>
      <c r="H27" s="23" t="s">
        <v>69</v>
      </c>
      <c r="I27" s="23"/>
      <c r="J27" s="2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6"/>
    </row>
    <row r="28" spans="1:29">
      <c r="A28" s="15"/>
      <c r="B28" s="17">
        <v>22</v>
      </c>
      <c r="C28" s="23" t="s">
        <v>41</v>
      </c>
      <c r="D28" s="23" t="s">
        <v>46</v>
      </c>
      <c r="E28" s="23" t="s">
        <v>47</v>
      </c>
      <c r="F28" s="23" t="s">
        <v>75</v>
      </c>
      <c r="G28" s="24" t="s">
        <v>62</v>
      </c>
      <c r="H28" s="23" t="s">
        <v>69</v>
      </c>
      <c r="I28" s="23"/>
      <c r="J28" s="2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6"/>
    </row>
    <row r="29" spans="1:29" ht="17.25" thickBot="1">
      <c r="A29" s="15"/>
      <c r="B29" s="18">
        <v>23</v>
      </c>
      <c r="C29" s="28" t="s">
        <v>64</v>
      </c>
      <c r="D29" s="28" t="s">
        <v>46</v>
      </c>
      <c r="E29" s="28" t="s">
        <v>47</v>
      </c>
      <c r="F29" s="28" t="s">
        <v>76</v>
      </c>
      <c r="G29" s="29" t="s">
        <v>62</v>
      </c>
      <c r="H29" s="28" t="s">
        <v>69</v>
      </c>
      <c r="I29" s="28"/>
      <c r="J29" s="30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31"/>
    </row>
    <row r="30" spans="1:29">
      <c r="A30" s="15"/>
      <c r="B30" s="2" t="str">
        <v/>
      </c>
      <c r="C30" s="2"/>
      <c r="D30" s="2"/>
      <c r="E30" s="2"/>
      <c r="F30" s="2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15"/>
      <c r="B31" s="2" t="str">
        <v/>
      </c>
      <c r="C31" s="2"/>
      <c r="D31" s="2"/>
      <c r="E31" s="2"/>
      <c r="F31" s="2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B32" t="str">
        <v/>
      </c>
    </row>
    <row r="33" spans="2:2">
      <c r="B33" t="str">
        <v/>
      </c>
    </row>
    <row r="34" spans="2:2">
      <c r="B34" t="str">
        <v/>
      </c>
    </row>
    <row r="35" spans="2:2">
      <c r="B35" t="str">
        <v/>
      </c>
    </row>
    <row r="36" spans="2:2">
      <c r="B36" t="str">
        <v/>
      </c>
    </row>
    <row r="37" spans="2:2">
      <c r="B37" t="str">
        <v/>
      </c>
    </row>
    <row r="38" spans="2:2">
      <c r="B38" t="str">
        <v/>
      </c>
    </row>
    <row r="39" spans="2:2">
      <c r="B39" t="str">
        <v/>
      </c>
    </row>
    <row r="40" spans="2:2">
      <c r="B40" t="str">
        <v/>
      </c>
    </row>
    <row r="41" spans="2:2">
      <c r="B41" t="str">
        <v/>
      </c>
    </row>
    <row r="42" spans="2:2">
      <c r="B42" t="str">
        <v/>
      </c>
    </row>
    <row r="43" spans="2:2">
      <c r="B43" t="str">
        <v/>
      </c>
    </row>
    <row r="44" spans="2:2">
      <c r="B44" t="str">
        <v/>
      </c>
    </row>
    <row r="45" spans="2:2">
      <c r="B45" t="str">
        <v/>
      </c>
    </row>
    <row r="46" spans="2:2">
      <c r="B46" t="str">
        <v/>
      </c>
    </row>
    <row r="47" spans="2:2">
      <c r="B47" t="str">
        <v/>
      </c>
    </row>
    <row r="48" spans="2:2">
      <c r="B48" t="str">
        <v/>
      </c>
    </row>
    <row r="49" spans="2:2">
      <c r="B49" t="str">
        <v/>
      </c>
    </row>
    <row r="50" spans="2:2">
      <c r="B50" t="str">
        <v/>
      </c>
    </row>
    <row r="51" spans="2:2">
      <c r="B51" t="str">
        <v/>
      </c>
    </row>
    <row r="52" spans="2:2">
      <c r="B52" t="str">
        <v/>
      </c>
    </row>
    <row r="53" spans="2:2">
      <c r="B53" t="str">
        <v/>
      </c>
    </row>
    <row r="54" spans="2:2">
      <c r="B54" t="str">
        <v/>
      </c>
    </row>
    <row r="55" spans="2:2">
      <c r="B55" t="str">
        <v/>
      </c>
    </row>
    <row r="56" spans="2:2">
      <c r="B56" t="str">
        <v/>
      </c>
    </row>
    <row r="57" spans="2:2">
      <c r="B57" t="str">
        <v/>
      </c>
    </row>
    <row r="58" spans="2:2">
      <c r="B58" t="str">
        <v/>
      </c>
    </row>
    <row r="59" spans="2:2">
      <c r="B59" t="str">
        <v/>
      </c>
    </row>
    <row r="60" spans="2:2">
      <c r="B60" t="str">
        <v/>
      </c>
    </row>
    <row r="61" spans="2:2">
      <c r="B61" t="str">
        <v/>
      </c>
    </row>
    <row r="62" spans="2:2">
      <c r="B62" t="str">
        <v/>
      </c>
    </row>
    <row r="63" spans="2:2">
      <c r="B63" t="str">
        <v/>
      </c>
    </row>
    <row r="64" spans="2:2">
      <c r="B64" t="str">
        <v/>
      </c>
    </row>
    <row r="65" spans="2:2">
      <c r="B65" t="str">
        <v/>
      </c>
    </row>
    <row r="66" spans="2:2">
      <c r="B66" t="str">
        <v/>
      </c>
    </row>
    <row r="67" spans="2:2">
      <c r="B67" t="str">
        <v/>
      </c>
    </row>
    <row r="68" spans="2:2">
      <c r="B68" t="str">
        <v/>
      </c>
    </row>
    <row r="69" spans="2:2">
      <c r="B69" t="str">
        <v/>
      </c>
    </row>
    <row r="70" spans="2:2">
      <c r="B70" t="str">
        <v/>
      </c>
    </row>
    <row r="71" spans="2:2">
      <c r="B71" t="str">
        <v/>
      </c>
    </row>
    <row r="72" spans="2:2">
      <c r="B72" t="str">
        <v/>
      </c>
    </row>
    <row r="73" spans="2:2">
      <c r="B73" t="str">
        <v/>
      </c>
    </row>
    <row r="74" spans="2:2">
      <c r="B74" t="str">
        <v/>
      </c>
    </row>
    <row r="75" spans="2:2">
      <c r="B75" t="str">
        <v/>
      </c>
    </row>
    <row r="76" spans="2:2">
      <c r="B76" t="str">
        <v/>
      </c>
    </row>
    <row r="77" spans="2:2">
      <c r="B77" t="str">
        <v/>
      </c>
    </row>
    <row r="78" spans="2:2">
      <c r="B78" t="str">
        <v/>
      </c>
    </row>
    <row r="79" spans="2:2">
      <c r="B79" t="str">
        <v/>
      </c>
    </row>
    <row r="80" spans="2:2">
      <c r="B80" t="str">
        <v/>
      </c>
    </row>
    <row r="81" spans="2:2">
      <c r="B81" t="str">
        <v/>
      </c>
    </row>
    <row r="82" spans="2:2">
      <c r="B82" t="str">
        <v/>
      </c>
    </row>
    <row r="83" spans="2:2">
      <c r="B83" t="str">
        <v/>
      </c>
    </row>
    <row r="84" spans="2:2">
      <c r="B84" t="str">
        <v/>
      </c>
    </row>
    <row r="85" spans="2:2">
      <c r="B85" t="str">
        <v/>
      </c>
    </row>
    <row r="86" spans="2:2">
      <c r="B86" t="str">
        <v/>
      </c>
    </row>
    <row r="87" spans="2:2">
      <c r="B87" t="str">
        <v/>
      </c>
    </row>
    <row r="88" spans="2:2">
      <c r="B88" t="str">
        <v/>
      </c>
    </row>
    <row r="89" spans="2:2">
      <c r="B89" t="str">
        <v/>
      </c>
    </row>
    <row r="90" spans="2:2">
      <c r="B90" t="str">
        <v/>
      </c>
    </row>
    <row r="91" spans="2:2">
      <c r="B91" t="str">
        <v/>
      </c>
    </row>
  </sheetData>
  <mergeCells count="25">
    <mergeCell ref="AC4:AC5"/>
    <mergeCell ref="W4:W5"/>
    <mergeCell ref="X4:X5"/>
    <mergeCell ref="Y4:Y5"/>
    <mergeCell ref="Z4:Z5"/>
    <mergeCell ref="AA4:AA5"/>
    <mergeCell ref="AB4:AB5"/>
    <mergeCell ref="V4:V5"/>
    <mergeCell ref="I4:I5"/>
    <mergeCell ref="J4:J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H4:H5"/>
    <mergeCell ref="B4:B5"/>
    <mergeCell ref="C4:C5"/>
    <mergeCell ref="D4:E4"/>
    <mergeCell ref="F4:F5"/>
    <mergeCell ref="G4:G5"/>
  </mergeCells>
  <phoneticPr fontId="1" type="noConversion"/>
  <dataValidations count="1">
    <dataValidation type="list" allowBlank="1" showInputMessage="1" showErrorMessage="1" sqref="I13:K15 Q7:U22 Y16:AC17 M13:P15 V16:X16 T23:AC23 V17:W22 X18:AC22 Q23:R23 Q24:AC31 V7:AC15 I16:P31 I7:P12" xr:uid="{F09DA95C-8BA7-4403-9C86-8EB5C46C10B5}">
      <formula1>$AD$2:$AD$3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일일근태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김남훈</dc:creator>
  <cp:lastModifiedBy>김남훈</cp:lastModifiedBy>
  <dcterms:created xsi:type="dcterms:W3CDTF">2026-03-17T23:44:22Z</dcterms:created>
  <dcterms:modified xsi:type="dcterms:W3CDTF">2026-03-18T09:18:40Z</dcterms:modified>
</cp:coreProperties>
</file>